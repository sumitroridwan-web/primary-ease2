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Analysis" sheetId="2" r:id="rId6"/>
  </sheets>
  <definedNames/>
  <calcPr/>
</workbook>
</file>

<file path=xl/sharedStrings.xml><?xml version="1.0" encoding="utf-8"?>
<sst xmlns="http://schemas.openxmlformats.org/spreadsheetml/2006/main" count="97" uniqueCount="19">
  <si>
    <t>English</t>
  </si>
  <si>
    <t>Grade 4</t>
  </si>
  <si>
    <t>Grade 5</t>
  </si>
  <si>
    <t>Quality Report</t>
  </si>
  <si>
    <t>Average</t>
  </si>
  <si>
    <t>Participation</t>
  </si>
  <si>
    <t>Pribadi Depok</t>
  </si>
  <si>
    <t>Pribadi Bandung</t>
  </si>
  <si>
    <t>Kharisma Bangsa</t>
  </si>
  <si>
    <t>Prestige School</t>
  </si>
  <si>
    <t>Semesta 2</t>
  </si>
  <si>
    <t>Pribadi Premiere</t>
  </si>
  <si>
    <t>Fatih Bilingual School</t>
  </si>
  <si>
    <t>TNA Fatih</t>
  </si>
  <si>
    <t>Science</t>
  </si>
  <si>
    <t>Mathematics</t>
  </si>
  <si>
    <t>Bahasa Indonesia</t>
  </si>
  <si>
    <t>Religion</t>
  </si>
  <si>
    <t>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</si>
</sst>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b/>
      <color rgb="FFFFFFFF"/>
      <name val="Arial"/>
    </font>
    <font>
      <b/>
      <sz val="10.0"/>
      <color rgb="FFFFFFFF"/>
      <name val="Arial"/>
    </font>
    <font/>
    <font>
      <color theme="1"/>
      <name val="Arial"/>
    </font>
    <font>
      <b/>
      <u/>
      <sz val="9.0"/>
      <color rgb="FF0000FF"/>
      <name val="Arial"/>
    </font>
    <font>
      <b/>
      <color theme="1"/>
      <name val="Arial"/>
    </font>
    <font>
      <sz val="8.0"/>
      <color theme="1"/>
      <name val="Arial"/>
    </font>
    <font>
      <sz val="9.0"/>
      <color theme="1"/>
      <name val="Arial"/>
    </font>
    <font>
      <color theme="1"/>
      <name val="Arial"/>
      <scheme val="minor"/>
    </font>
    <font>
      <b/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</fills>
  <borders count="4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ont="1">
      <alignment horizontal="center" readingOrder="0" vertical="bottom"/>
    </xf>
    <xf borderId="3" fillId="0" fontId="3" numFmtId="0" xfId="0" applyBorder="1" applyFont="1"/>
    <xf borderId="1" fillId="3" fontId="4" numFmtId="0" xfId="0" applyAlignment="1" applyBorder="1" applyFill="1" applyFont="1">
      <alignment vertical="bottom"/>
    </xf>
    <xf borderId="2" fillId="4" fontId="5" numFmtId="0" xfId="0" applyAlignment="1" applyBorder="1" applyFill="1" applyFont="1">
      <alignment horizontal="center" readingOrder="0" vertical="bottom"/>
    </xf>
    <xf borderId="1" fillId="3" fontId="6" numFmtId="0" xfId="0" applyAlignment="1" applyBorder="1" applyFont="1">
      <alignment readingOrder="0" vertical="bottom"/>
    </xf>
    <xf borderId="1" fillId="4" fontId="7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vertical="bottom"/>
    </xf>
    <xf borderId="1" fillId="4" fontId="8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left"/>
    </xf>
    <xf borderId="1" fillId="3" fontId="8" numFmtId="0" xfId="0" applyAlignment="1" applyBorder="1" applyFont="1">
      <alignment readingOrder="0" vertical="bottom"/>
    </xf>
    <xf borderId="1" fillId="3" fontId="10" numFmtId="0" xfId="0" applyAlignment="1" applyBorder="1" applyFont="1">
      <alignment vertical="bottom"/>
    </xf>
    <xf borderId="1" fillId="3" fontId="10" numFmtId="0" xfId="0" applyAlignment="1" applyBorder="1" applyFont="1">
      <alignment horizontal="center" readingOrder="0" vertical="bottom"/>
    </xf>
    <xf borderId="0" fillId="0" fontId="9" numFmtId="0" xfId="0" applyAlignment="1" applyFont="1">
      <alignment readingOrder="0"/>
    </xf>
    <xf borderId="1" fillId="3" fontId="6" numFmtId="164" xfId="0" applyAlignment="1" applyBorder="1" applyFont="1" applyNumberFormat="1">
      <alignment readingOrder="0" vertical="bottom"/>
    </xf>
    <xf borderId="1" fillId="0" fontId="9" numFmtId="164" xfId="0" applyAlignment="1" applyBorder="1" applyFont="1" applyNumberFormat="1">
      <alignment readingOrder="0"/>
    </xf>
    <xf borderId="1" fillId="5" fontId="9" numFmtId="164" xfId="0" applyAlignment="1" applyBorder="1" applyFill="1" applyFont="1" applyNumberFormat="1">
      <alignment readingOrder="0"/>
    </xf>
    <xf borderId="1" fillId="3" fontId="8" numFmtId="164" xfId="0" applyAlignment="1" applyBorder="1" applyFont="1" applyNumberFormat="1">
      <alignment vertical="bottom"/>
    </xf>
    <xf borderId="1" fillId="0" fontId="9" numFmtId="164" xfId="0" applyBorder="1" applyFont="1" applyNumberFormat="1"/>
    <xf borderId="1" fillId="5" fontId="9" numFmtId="164" xfId="0" applyBorder="1" applyFont="1" applyNumberFormat="1"/>
    <xf borderId="1" fillId="3" fontId="8" numFmtId="164" xfId="0" applyAlignment="1" applyBorder="1" applyFont="1" applyNumberFormat="1">
      <alignment readingOrder="0" vertical="bottom"/>
    </xf>
    <xf borderId="0" fillId="0" fontId="9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atihan.id/report/quality/235c0dfb-7142-43df-8409-3d71b4a556da?school=All" TargetMode="External"/><Relationship Id="rId2" Type="http://schemas.openxmlformats.org/officeDocument/2006/relationships/hyperlink" Target="https://latihan.id/report/quality/bec6cf5a-a9bf-4bf2-bdf3-d15102fd415a?school=All" TargetMode="External"/><Relationship Id="rId3" Type="http://schemas.openxmlformats.org/officeDocument/2006/relationships/hyperlink" Target="https://latihan.id/report/quality/d8b60e1e-ecfc-436d-9073-ff1894eff267?school=All" TargetMode="External"/><Relationship Id="rId4" Type="http://schemas.openxmlformats.org/officeDocument/2006/relationships/hyperlink" Target="https://latihan.id/report/quality/1250d15f-effb-4d45-8377-37d2cc57e64e?school=All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latihan.id/report/quality/52a6e5f1-aaca-42ca-ac94-ed9bbc9318e2?school=All" TargetMode="External"/><Relationship Id="rId9" Type="http://schemas.openxmlformats.org/officeDocument/2006/relationships/hyperlink" Target="https://latihan.id/report/quality/95a7301d-0a32-4252-aa50-bb2b66f1efaa?school=All" TargetMode="External"/><Relationship Id="rId5" Type="http://schemas.openxmlformats.org/officeDocument/2006/relationships/hyperlink" Target="https://latihan.id/report/quality/adfc66ec-af15-4cd4-bbc7-cf93f5105708?school=All" TargetMode="External"/><Relationship Id="rId6" Type="http://schemas.openxmlformats.org/officeDocument/2006/relationships/hyperlink" Target="https://latihan.id/report/quality/6c099a43-bc9a-4c7b-835d-397402685e4b?school=All" TargetMode="External"/><Relationship Id="rId7" Type="http://schemas.openxmlformats.org/officeDocument/2006/relationships/hyperlink" Target="https://latihan.id/report/quality/f43e608a-39c4-4248-8868-d8f227cc05cb?school=All" TargetMode="External"/><Relationship Id="rId8" Type="http://schemas.openxmlformats.org/officeDocument/2006/relationships/hyperlink" Target="https://latihan.id/report/quality/445fe0f3-03cc-45b5-9560-b33c96f568af?school=Al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.75"/>
    <col customWidth="1" min="2" max="2" width="21.13"/>
    <col customWidth="1" min="3" max="6" width="8.63"/>
  </cols>
  <sheetData>
    <row r="2">
      <c r="B2" s="1" t="s">
        <v>0</v>
      </c>
      <c r="C2" s="2" t="s">
        <v>1</v>
      </c>
      <c r="D2" s="3"/>
      <c r="E2" s="2" t="s">
        <v>2</v>
      </c>
      <c r="F2" s="3"/>
    </row>
    <row r="3">
      <c r="B3" s="4"/>
      <c r="C3" s="5" t="s">
        <v>3</v>
      </c>
      <c r="D3" s="3"/>
      <c r="E3" s="5" t="s">
        <v>3</v>
      </c>
      <c r="F3" s="3"/>
    </row>
    <row r="4">
      <c r="B4" s="6"/>
      <c r="C4" s="7" t="s">
        <v>4</v>
      </c>
      <c r="D4" s="7" t="s">
        <v>5</v>
      </c>
      <c r="E4" s="7" t="s">
        <v>4</v>
      </c>
      <c r="F4" s="7" t="s">
        <v>5</v>
      </c>
    </row>
    <row r="5">
      <c r="B5" s="8" t="s">
        <v>6</v>
      </c>
      <c r="C5" s="9">
        <v>84.91</v>
      </c>
      <c r="D5" s="9">
        <v>22.0</v>
      </c>
      <c r="E5" s="9">
        <v>86.0</v>
      </c>
      <c r="F5" s="9">
        <v>18.0</v>
      </c>
      <c r="G5" s="10">
        <f>IFERROR(__xludf.DUMMYFUNCTION("ROUND(AVERAGE(FILTER({C5,E5,#REF!,#REF!,#REF!,#REF!},{C5,E5,#REF!,#REF!,#REF!,#REF!}&lt;&gt;0)),1)"),85.5)</f>
        <v>85.5</v>
      </c>
    </row>
    <row r="6">
      <c r="B6" s="8" t="s">
        <v>7</v>
      </c>
      <c r="C6" s="9">
        <v>88.14</v>
      </c>
      <c r="D6" s="9">
        <v>28.0</v>
      </c>
      <c r="E6" s="9">
        <v>78.13</v>
      </c>
      <c r="F6" s="9">
        <v>30.0</v>
      </c>
      <c r="G6" s="10">
        <f>IFERROR(__xludf.DUMMYFUNCTION("ROUND(AVERAGE(FILTER({C6,E6,#REF!,#REF!,#REF!,#REF!},{C6,E6,#REF!,#REF!,#REF!,#REF!}&lt;&gt;0)),1)"),83.1)</f>
        <v>83.1</v>
      </c>
    </row>
    <row r="7">
      <c r="B7" s="11" t="s">
        <v>8</v>
      </c>
      <c r="C7" s="9">
        <v>91.44</v>
      </c>
      <c r="D7" s="9">
        <v>43.0</v>
      </c>
      <c r="E7" s="9">
        <v>87.4</v>
      </c>
      <c r="F7" s="9">
        <v>20.0</v>
      </c>
      <c r="G7" s="10">
        <f>IFERROR(__xludf.DUMMYFUNCTION("ROUND(AVERAGE(FILTER({C7,E7,#REF!,#REF!,#REF!,#REF!},{C7,E7,#REF!,#REF!,#REF!,#REF!}&lt;&gt;0)),1)"),89.4)</f>
        <v>89.4</v>
      </c>
    </row>
    <row r="8">
      <c r="B8" s="11" t="s">
        <v>9</v>
      </c>
      <c r="C8" s="9">
        <v>72.17</v>
      </c>
      <c r="D8" s="9">
        <v>24.0</v>
      </c>
      <c r="E8" s="9">
        <v>72.0</v>
      </c>
      <c r="F8" s="9">
        <v>15.0</v>
      </c>
      <c r="G8" s="10">
        <f>IFERROR(__xludf.DUMMYFUNCTION("ROUND(AVERAGE(FILTER({C8,E8,#REF!,#REF!,#REF!,#REF!},{C8,E8,#REF!,#REF!,#REF!,#REF!}&lt;&gt;0)),1)"),72.1)</f>
        <v>72.1</v>
      </c>
    </row>
    <row r="9">
      <c r="B9" s="11" t="s">
        <v>10</v>
      </c>
      <c r="C9" s="9">
        <v>88.74</v>
      </c>
      <c r="D9" s="9">
        <v>54.0</v>
      </c>
      <c r="E9" s="9">
        <v>84.0</v>
      </c>
      <c r="F9" s="9">
        <v>58.0</v>
      </c>
      <c r="G9" s="10">
        <f>IFERROR(__xludf.DUMMYFUNCTION("ROUND(AVERAGE(FILTER({C9,E9,#REF!,#REF!,#REF!,#REF!},{C9,E9,#REF!,#REF!,#REF!,#REF!}&lt;&gt;0)),1)"),86.4)</f>
        <v>86.4</v>
      </c>
    </row>
    <row r="10">
      <c r="B10" s="8" t="s">
        <v>11</v>
      </c>
      <c r="C10" s="9">
        <v>86.22</v>
      </c>
      <c r="D10" s="9">
        <v>9.0</v>
      </c>
      <c r="E10" s="9">
        <v>86.44</v>
      </c>
      <c r="F10" s="9">
        <v>18.0</v>
      </c>
      <c r="G10" s="10">
        <f>IFERROR(__xludf.DUMMYFUNCTION("ROUND(AVERAGE(FILTER({C10,E10,#REF!,#REF!,#REF!,#REF!},{C10,E10,#REF!,#REF!,#REF!,#REF!}&lt;&gt;0)),1)"),86.3)</f>
        <v>86.3</v>
      </c>
    </row>
    <row r="11">
      <c r="B11" s="8" t="s">
        <v>12</v>
      </c>
      <c r="C11" s="9">
        <v>77.26</v>
      </c>
      <c r="D11" s="9">
        <v>19.0</v>
      </c>
      <c r="E11" s="9">
        <v>76.8</v>
      </c>
      <c r="F11" s="9">
        <v>10.0</v>
      </c>
      <c r="G11" s="10">
        <f>IFERROR(__xludf.DUMMYFUNCTION("ROUND(AVERAGE(FILTER({C11,E11,#REF!,#REF!,#REF!,#REF!},{C11,E11,#REF!,#REF!,#REF!,#REF!}&lt;&gt;0)),1)"),77.0)</f>
        <v>77</v>
      </c>
    </row>
    <row r="12">
      <c r="B12" s="8" t="s">
        <v>13</v>
      </c>
      <c r="C12" s="9">
        <v>65.14</v>
      </c>
      <c r="D12" s="9">
        <v>21.0</v>
      </c>
      <c r="E12" s="9">
        <v>72.71</v>
      </c>
      <c r="F12" s="9">
        <v>17.0</v>
      </c>
      <c r="G12" s="10">
        <f>IFERROR(__xludf.DUMMYFUNCTION("ROUND(AVERAGE(FILTER({C12,E12,#REF!,#REF!,#REF!,#REF!},{C12,E12,#REF!,#REF!,#REF!,#REF!}&lt;&gt;0)),1)"),68.9)</f>
        <v>68.9</v>
      </c>
    </row>
    <row r="13">
      <c r="B13" s="12"/>
      <c r="C13" s="13"/>
      <c r="D13" s="13">
        <f>SUM(D5:D12)</f>
        <v>220</v>
      </c>
      <c r="E13" s="13">
        <v>80.44</v>
      </c>
      <c r="F13" s="13">
        <f>SUM(F5:F12)</f>
        <v>186</v>
      </c>
    </row>
    <row r="15">
      <c r="B15" s="1" t="s">
        <v>14</v>
      </c>
      <c r="C15" s="2" t="s">
        <v>1</v>
      </c>
      <c r="D15" s="3"/>
      <c r="E15" s="2" t="s">
        <v>2</v>
      </c>
      <c r="F15" s="3"/>
    </row>
    <row r="16">
      <c r="B16" s="4"/>
      <c r="C16" s="5" t="s">
        <v>3</v>
      </c>
      <c r="D16" s="3"/>
      <c r="E16" s="5" t="s">
        <v>3</v>
      </c>
      <c r="F16" s="3"/>
    </row>
    <row r="17">
      <c r="B17" s="6"/>
      <c r="C17" s="7" t="s">
        <v>4</v>
      </c>
      <c r="D17" s="7" t="s">
        <v>5</v>
      </c>
      <c r="E17" s="7" t="s">
        <v>4</v>
      </c>
      <c r="F17" s="7" t="s">
        <v>5</v>
      </c>
    </row>
    <row r="18">
      <c r="B18" s="8" t="s">
        <v>6</v>
      </c>
      <c r="C18" s="9">
        <v>80.36</v>
      </c>
      <c r="D18" s="9">
        <v>22.0</v>
      </c>
      <c r="E18" s="9">
        <v>83.58</v>
      </c>
      <c r="F18" s="9">
        <v>19.0</v>
      </c>
      <c r="G18" s="10">
        <f>IFERROR(__xludf.DUMMYFUNCTION("ROUND(AVERAGE(FILTER({C18,E18,#REF!,#REF!,#REF!,#REF!},{C18,E18,#REF!,#REF!,#REF!,#REF!}&lt;&gt;0)),1)"),82.0)</f>
        <v>82</v>
      </c>
    </row>
    <row r="19">
      <c r="B19" s="8" t="s">
        <v>7</v>
      </c>
      <c r="C19" s="9">
        <v>78.34</v>
      </c>
      <c r="D19" s="9">
        <v>29.0</v>
      </c>
      <c r="E19" s="9">
        <v>73.66</v>
      </c>
      <c r="F19" s="9">
        <v>29.0</v>
      </c>
      <c r="G19" s="10">
        <f>IFERROR(__xludf.DUMMYFUNCTION("ROUND(AVERAGE(FILTER({C19,E19,#REF!,#REF!,#REF!,#REF!},{C19,E19,#REF!,#REF!,#REF!,#REF!}&lt;&gt;0)),1)"),76.0)</f>
        <v>76</v>
      </c>
    </row>
    <row r="20">
      <c r="B20" s="11" t="s">
        <v>8</v>
      </c>
      <c r="C20" s="9">
        <v>83.35</v>
      </c>
      <c r="D20" s="9">
        <v>43.0</v>
      </c>
      <c r="E20" s="9">
        <v>87.0</v>
      </c>
      <c r="F20" s="9">
        <v>20.0</v>
      </c>
      <c r="G20" s="10">
        <f>IFERROR(__xludf.DUMMYFUNCTION("ROUND(AVERAGE(FILTER({C20,E20,#REF!,#REF!,#REF!,#REF!},{C20,E20,#REF!,#REF!,#REF!,#REF!}&lt;&gt;0)),1)"),85.2)</f>
        <v>85.2</v>
      </c>
    </row>
    <row r="21">
      <c r="B21" s="11" t="s">
        <v>9</v>
      </c>
      <c r="C21" s="9">
        <v>66.17</v>
      </c>
      <c r="D21" s="9">
        <v>24.0</v>
      </c>
      <c r="E21" s="9">
        <v>74.4</v>
      </c>
      <c r="F21" s="9">
        <v>15.0</v>
      </c>
      <c r="G21" s="10">
        <f>IFERROR(__xludf.DUMMYFUNCTION("ROUND(AVERAGE(FILTER({C21,E21,#REF!,#REF!,#REF!,#REF!},{C21,E21,#REF!,#REF!,#REF!,#REF!}&lt;&gt;0)),1)"),70.3)</f>
        <v>70.3</v>
      </c>
    </row>
    <row r="22">
      <c r="B22" s="11" t="s">
        <v>10</v>
      </c>
      <c r="C22" s="9">
        <v>81.26</v>
      </c>
      <c r="D22" s="9">
        <v>54.0</v>
      </c>
      <c r="E22" s="9">
        <v>85.61</v>
      </c>
      <c r="F22" s="9">
        <v>57.0</v>
      </c>
      <c r="G22" s="10">
        <f>IFERROR(__xludf.DUMMYFUNCTION("ROUND(AVERAGE(FILTER({C22,E22,#REF!,#REF!,#REF!,#REF!},{C22,E22,#REF!,#REF!,#REF!,#REF!}&lt;&gt;0)),1)"),83.4)</f>
        <v>83.4</v>
      </c>
    </row>
    <row r="23">
      <c r="B23" s="8" t="s">
        <v>11</v>
      </c>
      <c r="C23" s="9">
        <v>90.0</v>
      </c>
      <c r="D23" s="9">
        <v>8.0</v>
      </c>
      <c r="E23" s="9">
        <v>82.67</v>
      </c>
      <c r="F23" s="9">
        <v>18.0</v>
      </c>
      <c r="G23" s="10">
        <f>IFERROR(__xludf.DUMMYFUNCTION("ROUND(AVERAGE(FILTER({C23,E23,#REF!,#REF!,#REF!,#REF!},{C23,E23,#REF!,#REF!,#REF!,#REF!}&lt;&gt;0)),1)"),86.3)</f>
        <v>86.3</v>
      </c>
    </row>
    <row r="24">
      <c r="B24" s="8" t="s">
        <v>12</v>
      </c>
      <c r="C24" s="9">
        <v>69.47</v>
      </c>
      <c r="D24" s="9">
        <v>19.0</v>
      </c>
      <c r="E24" s="9">
        <v>77.82</v>
      </c>
      <c r="F24" s="9">
        <v>11.0</v>
      </c>
      <c r="G24" s="10">
        <f>IFERROR(__xludf.DUMMYFUNCTION("ROUND(AVERAGE(FILTER({C24,E24,#REF!,#REF!,#REF!,#REF!},{C24,E24,#REF!,#REF!,#REF!,#REF!}&lt;&gt;0)),1)"),73.6)</f>
        <v>73.6</v>
      </c>
    </row>
    <row r="25">
      <c r="B25" s="8" t="s">
        <v>13</v>
      </c>
      <c r="C25" s="9">
        <v>66.48</v>
      </c>
      <c r="D25" s="9">
        <v>21.0</v>
      </c>
      <c r="E25" s="9">
        <v>79.29</v>
      </c>
      <c r="F25" s="9">
        <v>17.0</v>
      </c>
      <c r="G25" s="10">
        <f>IFERROR(__xludf.DUMMYFUNCTION("ROUND(AVERAGE(FILTER({C25,E25,#REF!,#REF!,#REF!,#REF!},{C25,E25,#REF!,#REF!,#REF!,#REF!}&lt;&gt;0)),1)"),72.9)</f>
        <v>72.9</v>
      </c>
    </row>
    <row r="26">
      <c r="B26" s="12"/>
      <c r="C26" s="13">
        <v>76.93</v>
      </c>
      <c r="D26" s="13">
        <f>SUM(D18:D25)</f>
        <v>220</v>
      </c>
      <c r="E26" s="13">
        <v>80.5</v>
      </c>
      <c r="F26" s="13">
        <f>SUM(F18:F25)</f>
        <v>186</v>
      </c>
    </row>
    <row r="28">
      <c r="B28" s="1" t="s">
        <v>15</v>
      </c>
      <c r="C28" s="2" t="s">
        <v>1</v>
      </c>
      <c r="D28" s="3"/>
      <c r="E28" s="2" t="s">
        <v>2</v>
      </c>
      <c r="F28" s="3"/>
    </row>
    <row r="29">
      <c r="B29" s="4"/>
      <c r="C29" s="5" t="s">
        <v>3</v>
      </c>
      <c r="D29" s="3"/>
      <c r="E29" s="5" t="s">
        <v>3</v>
      </c>
      <c r="F29" s="3"/>
    </row>
    <row r="30">
      <c r="B30" s="6"/>
      <c r="C30" s="7" t="s">
        <v>4</v>
      </c>
      <c r="D30" s="7" t="s">
        <v>5</v>
      </c>
      <c r="E30" s="7" t="s">
        <v>4</v>
      </c>
      <c r="F30" s="7" t="s">
        <v>5</v>
      </c>
    </row>
    <row r="31">
      <c r="B31" s="8" t="s">
        <v>6</v>
      </c>
      <c r="C31" s="9">
        <v>81.82</v>
      </c>
      <c r="D31" s="9">
        <v>22.0</v>
      </c>
      <c r="E31" s="9">
        <v>79.37</v>
      </c>
      <c r="F31" s="9">
        <v>19.0</v>
      </c>
      <c r="G31" s="10">
        <f>IFERROR(__xludf.DUMMYFUNCTION("ROUND(AVERAGE(FILTER({C31,E31,#REF!,#REF!,#REF!,#REF!},{C31,E31,#REF!,#REF!,#REF!,#REF!}&lt;&gt;0)),1)"),80.6)</f>
        <v>80.6</v>
      </c>
    </row>
    <row r="32">
      <c r="B32" s="8" t="s">
        <v>7</v>
      </c>
      <c r="C32" s="9">
        <v>78.57</v>
      </c>
      <c r="D32" s="9">
        <v>28.0</v>
      </c>
      <c r="E32" s="9">
        <v>70.71</v>
      </c>
      <c r="F32" s="9">
        <v>31.0</v>
      </c>
      <c r="G32" s="10">
        <f>IFERROR(__xludf.DUMMYFUNCTION("ROUND(AVERAGE(FILTER({C32,E32,#REF!,#REF!,#REF!,#REF!},{C32,E32,#REF!,#REF!,#REF!,#REF!}&lt;&gt;0)),1)"),74.6)</f>
        <v>74.6</v>
      </c>
    </row>
    <row r="33">
      <c r="B33" s="11" t="s">
        <v>8</v>
      </c>
      <c r="C33" s="9">
        <v>83.16</v>
      </c>
      <c r="D33" s="9">
        <v>43.0</v>
      </c>
      <c r="E33" s="9">
        <v>85.6</v>
      </c>
      <c r="F33" s="9">
        <v>20.0</v>
      </c>
      <c r="G33" s="10">
        <f>IFERROR(__xludf.DUMMYFUNCTION("ROUND(AVERAGE(FILTER({C33,E33,#REF!,#REF!,#REF!,#REF!},{C33,E33,#REF!,#REF!,#REF!,#REF!}&lt;&gt;0)),1)"),84.4)</f>
        <v>84.4</v>
      </c>
    </row>
    <row r="34">
      <c r="B34" s="11" t="s">
        <v>9</v>
      </c>
      <c r="C34" s="9">
        <v>68.5</v>
      </c>
      <c r="D34" s="9">
        <v>24.0</v>
      </c>
      <c r="E34" s="9">
        <v>61.87</v>
      </c>
      <c r="F34" s="9">
        <v>15.0</v>
      </c>
      <c r="G34" s="10">
        <f>IFERROR(__xludf.DUMMYFUNCTION("ROUND(AVERAGE(FILTER({C34,E34,#REF!,#REF!,#REF!,#REF!},{C34,E34,#REF!,#REF!,#REF!,#REF!}&lt;&gt;0)),1)"),65.2)</f>
        <v>65.2</v>
      </c>
    </row>
    <row r="35">
      <c r="B35" s="11" t="s">
        <v>10</v>
      </c>
      <c r="C35" s="9">
        <v>85.11</v>
      </c>
      <c r="D35" s="9">
        <v>54.0</v>
      </c>
      <c r="E35" s="9">
        <v>87.66</v>
      </c>
      <c r="F35" s="9">
        <v>58.0</v>
      </c>
      <c r="G35" s="10">
        <f>IFERROR(__xludf.DUMMYFUNCTION("ROUND(AVERAGE(FILTER({C35,E35,#REF!,#REF!,#REF!,#REF!},{C35,E35,#REF!,#REF!,#REF!,#REF!}&lt;&gt;0)),1)"),86.4)</f>
        <v>86.4</v>
      </c>
    </row>
    <row r="36">
      <c r="B36" s="8" t="s">
        <v>11</v>
      </c>
      <c r="C36" s="9">
        <v>91.5</v>
      </c>
      <c r="D36" s="9">
        <v>8.0</v>
      </c>
      <c r="E36" s="9">
        <v>82.74</v>
      </c>
      <c r="F36" s="9">
        <v>19.0</v>
      </c>
      <c r="G36" s="10">
        <f>IFERROR(__xludf.DUMMYFUNCTION("ROUND(AVERAGE(FILTER({C36,E36,#REF!,#REF!,#REF!,#REF!},{C36,E36,#REF!,#REF!,#REF!,#REF!}&lt;&gt;0)),1)"),87.1)</f>
        <v>87.1</v>
      </c>
    </row>
    <row r="37">
      <c r="B37" s="8" t="s">
        <v>12</v>
      </c>
      <c r="C37" s="9">
        <v>74.53</v>
      </c>
      <c r="D37" s="9">
        <v>19.0</v>
      </c>
      <c r="E37" s="9">
        <v>74.91</v>
      </c>
      <c r="F37" s="9">
        <v>11.0</v>
      </c>
      <c r="G37" s="10">
        <f>IFERROR(__xludf.DUMMYFUNCTION("ROUND(AVERAGE(FILTER({C37,E37,#REF!,#REF!,#REF!,#REF!},{C37,E37,#REF!,#REF!,#REF!,#REF!}&lt;&gt;0)),1)"),74.7)</f>
        <v>74.7</v>
      </c>
    </row>
    <row r="38">
      <c r="B38" s="8" t="s">
        <v>13</v>
      </c>
      <c r="C38" s="9">
        <v>65.27</v>
      </c>
      <c r="D38" s="9">
        <v>22.0</v>
      </c>
      <c r="E38" s="9">
        <v>90.67</v>
      </c>
      <c r="F38" s="9">
        <v>18.0</v>
      </c>
      <c r="G38" s="10">
        <f>IFERROR(__xludf.DUMMYFUNCTION("ROUND(AVERAGE(FILTER({C38,E38,#REF!,#REF!,#REF!,#REF!},{C38,E38,#REF!,#REF!,#REF!,#REF!}&lt;&gt;0)),1)"),78.0)</f>
        <v>78</v>
      </c>
    </row>
    <row r="39">
      <c r="B39" s="12"/>
      <c r="C39" s="13">
        <v>78.56</v>
      </c>
      <c r="D39" s="13">
        <f>SUM(D31:D38)</f>
        <v>220</v>
      </c>
      <c r="E39" s="13">
        <v>79.19</v>
      </c>
      <c r="F39" s="13">
        <f>SUM(F31:F38)</f>
        <v>191</v>
      </c>
    </row>
    <row r="41">
      <c r="B41" s="1" t="s">
        <v>16</v>
      </c>
      <c r="C41" s="2" t="s">
        <v>1</v>
      </c>
      <c r="D41" s="3"/>
      <c r="E41" s="2" t="s">
        <v>2</v>
      </c>
      <c r="F41" s="3"/>
    </row>
    <row r="42">
      <c r="B42" s="4"/>
      <c r="C42" s="5" t="s">
        <v>3</v>
      </c>
      <c r="D42" s="3"/>
      <c r="E42" s="5" t="s">
        <v>3</v>
      </c>
      <c r="F42" s="3"/>
    </row>
    <row r="43">
      <c r="B43" s="6"/>
      <c r="C43" s="7" t="s">
        <v>4</v>
      </c>
      <c r="D43" s="7" t="s">
        <v>5</v>
      </c>
      <c r="E43" s="7" t="s">
        <v>4</v>
      </c>
      <c r="F43" s="7" t="s">
        <v>5</v>
      </c>
    </row>
    <row r="44">
      <c r="B44" s="8" t="s">
        <v>6</v>
      </c>
      <c r="C44" s="9">
        <v>84.18</v>
      </c>
      <c r="D44" s="9">
        <v>22.0</v>
      </c>
      <c r="E44" s="9">
        <v>82.67</v>
      </c>
      <c r="F44" s="9">
        <v>18.0</v>
      </c>
      <c r="G44" s="10">
        <f>IFERROR(__xludf.DUMMYFUNCTION("ROUND(AVERAGE(FILTER({C44,E44,#REF!,#REF!,#REF!,#REF!},{C44,E44,#REF!,#REF!,#REF!,#REF!}&lt;&gt;0)),1)"),83.4)</f>
        <v>83.4</v>
      </c>
    </row>
    <row r="45">
      <c r="B45" s="8" t="s">
        <v>7</v>
      </c>
      <c r="C45" s="9">
        <v>84.89</v>
      </c>
      <c r="D45" s="9">
        <v>27.0</v>
      </c>
      <c r="E45" s="9">
        <v>83.2</v>
      </c>
      <c r="F45" s="9">
        <v>30.0</v>
      </c>
      <c r="G45" s="10">
        <f>IFERROR(__xludf.DUMMYFUNCTION("ROUND(AVERAGE(FILTER({C45,E45,#REF!,#REF!,#REF!,#REF!},{C45,E45,#REF!,#REF!,#REF!,#REF!}&lt;&gt;0)),1)"),84.0)</f>
        <v>84</v>
      </c>
    </row>
    <row r="46">
      <c r="B46" s="11" t="s">
        <v>8</v>
      </c>
      <c r="C46" s="9">
        <v>87.12</v>
      </c>
      <c r="D46" s="9">
        <v>41.0</v>
      </c>
      <c r="E46" s="9">
        <v>87.16</v>
      </c>
      <c r="F46" s="9">
        <v>19.0</v>
      </c>
      <c r="G46" s="10">
        <f>IFERROR(__xludf.DUMMYFUNCTION("ROUND(AVERAGE(FILTER({C46,E46,#REF!,#REF!,#REF!,#REF!},{C46,E46,#REF!,#REF!,#REF!,#REF!}&lt;&gt;0)),1)"),87.1)</f>
        <v>87.1</v>
      </c>
    </row>
    <row r="47">
      <c r="B47" s="11" t="s">
        <v>9</v>
      </c>
      <c r="C47" s="9">
        <v>79.17</v>
      </c>
      <c r="D47" s="9">
        <v>24.0</v>
      </c>
      <c r="E47" s="9">
        <v>94.4</v>
      </c>
      <c r="F47" s="9">
        <v>15.0</v>
      </c>
      <c r="G47" s="10">
        <f>IFERROR(__xludf.DUMMYFUNCTION("ROUND(AVERAGE(FILTER({C47,E47,#REF!,#REF!,#REF!,#REF!},{C47,E47,#REF!,#REF!,#REF!,#REF!}&lt;&gt;0)),1)"),86.8)</f>
        <v>86.8</v>
      </c>
    </row>
    <row r="48">
      <c r="B48" s="11" t="s">
        <v>10</v>
      </c>
      <c r="C48" s="9">
        <v>90.0</v>
      </c>
      <c r="D48" s="9">
        <v>54.0</v>
      </c>
      <c r="E48" s="9">
        <v>95.23</v>
      </c>
      <c r="F48" s="9">
        <v>57.0</v>
      </c>
      <c r="G48" s="10">
        <f>IFERROR(__xludf.DUMMYFUNCTION("ROUND(AVERAGE(FILTER({C48,E48,#REF!,#REF!,#REF!,#REF!},{C48,E48,#REF!,#REF!,#REF!,#REF!}&lt;&gt;0)),1)"),92.6)</f>
        <v>92.6</v>
      </c>
    </row>
    <row r="49">
      <c r="B49" s="8" t="s">
        <v>11</v>
      </c>
      <c r="C49" s="9">
        <v>86.0</v>
      </c>
      <c r="D49" s="9">
        <v>8.0</v>
      </c>
      <c r="E49" s="9">
        <v>89.26</v>
      </c>
      <c r="F49" s="9">
        <v>19.0</v>
      </c>
      <c r="G49" s="10">
        <f>IFERROR(__xludf.DUMMYFUNCTION("ROUND(AVERAGE(FILTER({C49,E49,#REF!,#REF!,#REF!,#REF!},{C49,E49,#REF!,#REF!,#REF!,#REF!}&lt;&gt;0)),1)"),87.6)</f>
        <v>87.6</v>
      </c>
    </row>
    <row r="50">
      <c r="B50" s="8" t="s">
        <v>12</v>
      </c>
      <c r="C50" s="9">
        <v>88.89</v>
      </c>
      <c r="D50" s="9">
        <v>18.0</v>
      </c>
      <c r="E50" s="9">
        <v>96.36</v>
      </c>
      <c r="F50" s="9">
        <v>11.0</v>
      </c>
      <c r="G50" s="10">
        <f>IFERROR(__xludf.DUMMYFUNCTION("ROUND(AVERAGE(FILTER({C50,E50,#REF!,#REF!,#REF!,#REF!},{C50,E50,#REF!,#REF!,#REF!,#REF!}&lt;&gt;0)),1)"),92.6)</f>
        <v>92.6</v>
      </c>
    </row>
    <row r="51">
      <c r="B51" s="8" t="s">
        <v>13</v>
      </c>
      <c r="C51" s="9">
        <v>85.09</v>
      </c>
      <c r="D51" s="9">
        <v>22.0</v>
      </c>
      <c r="E51" s="9">
        <v>92.89</v>
      </c>
      <c r="F51" s="9">
        <v>18.0</v>
      </c>
      <c r="G51" s="10">
        <f>IFERROR(__xludf.DUMMYFUNCTION("ROUND(AVERAGE(FILTER({C51,E51,#REF!,#REF!,#REF!,#REF!},{C51,E51,#REF!,#REF!,#REF!,#REF!}&lt;&gt;0)),1)"),89.0)</f>
        <v>89</v>
      </c>
    </row>
    <row r="52">
      <c r="B52" s="12"/>
      <c r="C52" s="13">
        <v>85.67</v>
      </c>
      <c r="D52" s="13">
        <f>SUM(D44:D51)</f>
        <v>216</v>
      </c>
      <c r="E52" s="13">
        <v>90.15</v>
      </c>
      <c r="F52" s="13">
        <f>SUM(F44:F51)</f>
        <v>187</v>
      </c>
    </row>
    <row r="54">
      <c r="B54" s="1" t="s">
        <v>17</v>
      </c>
      <c r="C54" s="2" t="s">
        <v>1</v>
      </c>
      <c r="D54" s="3"/>
      <c r="E54" s="2" t="s">
        <v>2</v>
      </c>
      <c r="F54" s="3"/>
    </row>
    <row r="55">
      <c r="B55" s="4"/>
      <c r="C55" s="5" t="s">
        <v>3</v>
      </c>
      <c r="D55" s="3"/>
      <c r="E55" s="5" t="s">
        <v>3</v>
      </c>
      <c r="F55" s="3"/>
    </row>
    <row r="56">
      <c r="B56" s="6"/>
      <c r="C56" s="7" t="s">
        <v>4</v>
      </c>
      <c r="D56" s="7" t="s">
        <v>5</v>
      </c>
      <c r="E56" s="7" t="s">
        <v>4</v>
      </c>
      <c r="F56" s="7" t="s">
        <v>5</v>
      </c>
    </row>
    <row r="57">
      <c r="B57" s="8" t="s">
        <v>6</v>
      </c>
      <c r="C57" s="9">
        <v>68.25</v>
      </c>
      <c r="D57" s="9">
        <v>21.0</v>
      </c>
      <c r="E57" s="9">
        <v>85.69</v>
      </c>
      <c r="F57" s="9">
        <v>17.0</v>
      </c>
      <c r="G57" s="10">
        <f>IFERROR(__xludf.DUMMYFUNCTION("ROUND(AVERAGE(FILTER({C57,E57,#REF!,#REF!,#REF!,#REF!},{C57,E57,#REF!,#REF!,#REF!,#REF!}&lt;&gt;0)),1)"),77.0)</f>
        <v>77</v>
      </c>
    </row>
    <row r="58">
      <c r="B58" s="8" t="s">
        <v>7</v>
      </c>
      <c r="C58" s="9">
        <v>61.9</v>
      </c>
      <c r="D58" s="9">
        <v>28.0</v>
      </c>
      <c r="E58" s="9">
        <v>64.41</v>
      </c>
      <c r="F58" s="9">
        <v>31.0</v>
      </c>
      <c r="G58" s="10">
        <f>IFERROR(__xludf.DUMMYFUNCTION("ROUND(AVERAGE(FILTER({C58,E58,#REF!,#REF!,#REF!,#REF!},{C58,E58,#REF!,#REF!,#REF!,#REF!}&lt;&gt;0)),1)"),63.2)</f>
        <v>63.2</v>
      </c>
    </row>
    <row r="59">
      <c r="B59" s="11" t="s">
        <v>8</v>
      </c>
      <c r="C59" s="9">
        <v>62.11</v>
      </c>
      <c r="D59" s="9">
        <v>41.0</v>
      </c>
      <c r="E59" s="9">
        <v>77.72</v>
      </c>
      <c r="F59" s="9">
        <v>19.0</v>
      </c>
      <c r="G59" s="10">
        <f>IFERROR(__xludf.DUMMYFUNCTION("ROUND(AVERAGE(FILTER({C59,E59,#REF!,#REF!,#REF!,#REF!},{C59,E59,#REF!,#REF!,#REF!,#REF!}&lt;&gt;0)),1)"),69.9)</f>
        <v>69.9</v>
      </c>
    </row>
    <row r="60">
      <c r="B60" s="11" t="s">
        <v>9</v>
      </c>
      <c r="C60" s="9">
        <v>51.53</v>
      </c>
      <c r="D60" s="9">
        <v>22.0</v>
      </c>
      <c r="E60" s="9">
        <v>76.0</v>
      </c>
      <c r="F60" s="9">
        <v>15.0</v>
      </c>
      <c r="G60" s="10">
        <f>IFERROR(__xludf.DUMMYFUNCTION("ROUND(AVERAGE(FILTER({C60,E60,#REF!,#REF!,#REF!,#REF!},{C60,E60,#REF!,#REF!,#REF!,#REF!}&lt;&gt;0)),1)"),63.8)</f>
        <v>63.8</v>
      </c>
    </row>
    <row r="61">
      <c r="B61" s="11" t="s">
        <v>10</v>
      </c>
      <c r="C61" s="9">
        <v>64.14</v>
      </c>
      <c r="D61" s="9">
        <v>54.0</v>
      </c>
      <c r="E61" s="9">
        <v>82.01</v>
      </c>
      <c r="F61" s="9">
        <v>58.0</v>
      </c>
      <c r="G61" s="10">
        <f>IFERROR(__xludf.DUMMYFUNCTION("ROUND(AVERAGE(FILTER({C61,E61,#REF!,#REF!,#REF!,#REF!},{C61,E61,#REF!,#REF!,#REF!,#REF!}&lt;&gt;0)),1)"),73.1)</f>
        <v>73.1</v>
      </c>
    </row>
    <row r="62">
      <c r="B62" s="8" t="s">
        <v>11</v>
      </c>
      <c r="C62" s="9">
        <v>85.19</v>
      </c>
      <c r="D62" s="9">
        <v>9.0</v>
      </c>
      <c r="E62" s="9">
        <v>85.09</v>
      </c>
      <c r="F62" s="9">
        <v>19.0</v>
      </c>
      <c r="G62" s="10">
        <f>IFERROR(__xludf.DUMMYFUNCTION("ROUND(AVERAGE(FILTER({C62,E62,#REF!,#REF!,#REF!,#REF!},{C62,E62,#REF!,#REF!,#REF!,#REF!}&lt;&gt;0)),1)"),85.1)</f>
        <v>85.1</v>
      </c>
    </row>
    <row r="63">
      <c r="B63" s="8" t="s">
        <v>12</v>
      </c>
      <c r="C63" s="9">
        <v>65.26</v>
      </c>
      <c r="D63" s="9">
        <v>19.0</v>
      </c>
      <c r="E63" s="9">
        <v>84.85</v>
      </c>
      <c r="F63" s="9">
        <v>11.0</v>
      </c>
      <c r="G63" s="10">
        <f>IFERROR(__xludf.DUMMYFUNCTION("ROUND(AVERAGE(FILTER({C63,E63,#REF!,#REF!,#REF!,#REF!},{C63,E63,#REF!,#REF!,#REF!,#REF!}&lt;&gt;0)),1)"),75.1)</f>
        <v>75.1</v>
      </c>
    </row>
    <row r="64">
      <c r="B64" s="8" t="s">
        <v>13</v>
      </c>
      <c r="C64" s="9">
        <v>69.85</v>
      </c>
      <c r="D64" s="9">
        <v>22.0</v>
      </c>
      <c r="E64" s="9">
        <v>83.33</v>
      </c>
      <c r="F64" s="9">
        <v>18.0</v>
      </c>
      <c r="G64" s="10">
        <f>IFERROR(__xludf.DUMMYFUNCTION("ROUND(AVERAGE(FILTER({C64,E64,#REF!,#REF!,#REF!,#REF!},{C64,E64,#REF!,#REF!,#REF!,#REF!}&lt;&gt;0)),1)"),76.6)</f>
        <v>76.6</v>
      </c>
    </row>
    <row r="65">
      <c r="B65" s="12"/>
      <c r="C65" s="13">
        <v>77.0</v>
      </c>
      <c r="D65" s="13">
        <f>SUM(D57:D64)</f>
        <v>216</v>
      </c>
      <c r="E65" s="13">
        <v>81.0</v>
      </c>
      <c r="F65" s="13">
        <f>SUM(F57:F64)</f>
        <v>188</v>
      </c>
    </row>
  </sheetData>
  <mergeCells count="20">
    <mergeCell ref="C2:D2"/>
    <mergeCell ref="E2:F2"/>
    <mergeCell ref="C3:D3"/>
    <mergeCell ref="E3:F3"/>
    <mergeCell ref="C15:D15"/>
    <mergeCell ref="E15:F15"/>
    <mergeCell ref="E16:F16"/>
    <mergeCell ref="C42:D42"/>
    <mergeCell ref="E42:F42"/>
    <mergeCell ref="C54:D54"/>
    <mergeCell ref="E54:F54"/>
    <mergeCell ref="C55:D55"/>
    <mergeCell ref="E55:F55"/>
    <mergeCell ref="C16:D16"/>
    <mergeCell ref="C28:D28"/>
    <mergeCell ref="E28:F28"/>
    <mergeCell ref="C29:D29"/>
    <mergeCell ref="E29:F29"/>
    <mergeCell ref="C41:D41"/>
    <mergeCell ref="E41:F41"/>
  </mergeCells>
  <hyperlinks>
    <hyperlink r:id="rId1" ref="C3"/>
    <hyperlink r:id="rId2" ref="E3"/>
    <hyperlink r:id="rId3" ref="C16"/>
    <hyperlink r:id="rId4" ref="E16"/>
    <hyperlink r:id="rId5" ref="C29"/>
    <hyperlink r:id="rId6" ref="E29"/>
    <hyperlink r:id="rId7" ref="C42"/>
    <hyperlink r:id="rId8" ref="E42"/>
    <hyperlink r:id="rId9" ref="C55"/>
    <hyperlink r:id="rId10" ref="E55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</cols>
  <sheetData>
    <row r="1">
      <c r="C1" s="14" t="s">
        <v>18</v>
      </c>
    </row>
    <row r="2">
      <c r="B2" s="15"/>
      <c r="C2" s="16" t="s">
        <v>1</v>
      </c>
      <c r="D2" s="16" t="s">
        <v>2</v>
      </c>
      <c r="E2" s="17" t="s">
        <v>4</v>
      </c>
    </row>
    <row r="3">
      <c r="B3" s="18" t="s">
        <v>6</v>
      </c>
      <c r="C3" s="19">
        <f t="array" ref="C3">AVERAGEIF({Data!C5,Data!C18,Data!C31,Data!C44,Data!C57},"&lt;&gt;0")</f>
        <v>79.904</v>
      </c>
      <c r="D3" s="19">
        <f t="array" ref="D3">AVERAGEIF({Data!E5,Data!E18,Data!E31,Data!E44,Data!E57},"&lt;&gt;0")</f>
        <v>83.462</v>
      </c>
      <c r="E3" s="20">
        <f t="shared" ref="E3:E10" si="1">AVERAGEIF(C3:D3,"&lt;&gt;0")</f>
        <v>81.683</v>
      </c>
    </row>
    <row r="4">
      <c r="B4" s="18" t="s">
        <v>7</v>
      </c>
      <c r="C4" s="19">
        <f t="array" ref="C4">AVERAGEIF({Data!C6,Data!C19,Data!C32,Data!C45,Data!C58},"&lt;&gt;0")</f>
        <v>78.368</v>
      </c>
      <c r="D4" s="19">
        <f t="array" ref="D4">AVERAGEIF({Data!E6,Data!E19,Data!E32,Data!E45,Data!E58},"&lt;&gt;0")</f>
        <v>74.022</v>
      </c>
      <c r="E4" s="20">
        <f t="shared" si="1"/>
        <v>76.195</v>
      </c>
    </row>
    <row r="5">
      <c r="B5" s="21" t="s">
        <v>8</v>
      </c>
      <c r="C5" s="19">
        <f t="array" ref="C5">AVERAGEIF({Data!C7,Data!C20,Data!C33,Data!C46,Data!C59},"&lt;&gt;0")</f>
        <v>81.436</v>
      </c>
      <c r="D5" s="19">
        <f t="array" ref="D5">AVERAGEIF({Data!E7,Data!E20,Data!E33,Data!E46,Data!E59},"&lt;&gt;0")</f>
        <v>84.976</v>
      </c>
      <c r="E5" s="20">
        <f t="shared" si="1"/>
        <v>83.206</v>
      </c>
    </row>
    <row r="6">
      <c r="B6" s="21" t="s">
        <v>9</v>
      </c>
      <c r="C6" s="19">
        <f t="array" ref="C6">AVERAGEIF({Data!C8,Data!C21,Data!C34,Data!C47,Data!C60},"&lt;&gt;0")</f>
        <v>67.508</v>
      </c>
      <c r="D6" s="19">
        <f t="array" ref="D6">AVERAGEIF({Data!E8,Data!E21,Data!E34,Data!E47,Data!E60},"&lt;&gt;0")</f>
        <v>75.734</v>
      </c>
      <c r="E6" s="20">
        <f t="shared" si="1"/>
        <v>71.621</v>
      </c>
    </row>
    <row r="7">
      <c r="B7" s="21" t="s">
        <v>10</v>
      </c>
      <c r="C7" s="19">
        <f t="array" ref="C7">AVERAGEIF({Data!C9,Data!C22,Data!C35,Data!C48,Data!C61},"&lt;&gt;0")</f>
        <v>81.85</v>
      </c>
      <c r="D7" s="19">
        <f t="array" ref="D7">AVERAGEIF({Data!E9,Data!E22,Data!E35,Data!E48,Data!E61},"&lt;&gt;0")</f>
        <v>86.902</v>
      </c>
      <c r="E7" s="20">
        <f t="shared" si="1"/>
        <v>84.376</v>
      </c>
    </row>
    <row r="8">
      <c r="B8" s="18" t="s">
        <v>11</v>
      </c>
      <c r="C8" s="19">
        <f t="array" ref="C8">AVERAGEIF({Data!C10,Data!C23,Data!C36,Data!C49,Data!C62},"&lt;&gt;0")</f>
        <v>87.782</v>
      </c>
      <c r="D8" s="19">
        <f t="array" ref="D8">AVERAGEIF({Data!E10,Data!E23,Data!E36,Data!E49,Data!E62},"&lt;&gt;0")</f>
        <v>85.24</v>
      </c>
      <c r="E8" s="20">
        <f t="shared" si="1"/>
        <v>86.511</v>
      </c>
    </row>
    <row r="9">
      <c r="B9" s="18" t="s">
        <v>12</v>
      </c>
      <c r="C9" s="19">
        <f t="array" ref="C9">AVERAGEIF({Data!C11,Data!C24,Data!C37,Data!C50,Data!C63},"&lt;&gt;0")</f>
        <v>75.082</v>
      </c>
      <c r="D9" s="19">
        <f t="array" ref="D9">AVERAGEIF({Data!E11,Data!E24,Data!E37,Data!E50,Data!E63},"&lt;&gt;0")</f>
        <v>82.148</v>
      </c>
      <c r="E9" s="20">
        <f t="shared" si="1"/>
        <v>78.615</v>
      </c>
    </row>
    <row r="10">
      <c r="B10" s="18" t="s">
        <v>13</v>
      </c>
      <c r="C10" s="19">
        <f t="array" ref="C10">AVERAGEIF({Data!C12,Data!C25,Data!C38,Data!C51,Data!C64},"&lt;&gt;0")</f>
        <v>70.366</v>
      </c>
      <c r="D10" s="19">
        <f t="array" ref="D10">AVERAGEIF({Data!E12,Data!E25,Data!E38,Data!E51,Data!E64},"&lt;&gt;0")</f>
        <v>83.778</v>
      </c>
      <c r="E10" s="20">
        <f t="shared" si="1"/>
        <v>77.072</v>
      </c>
    </row>
    <row r="11">
      <c r="C11" s="22">
        <f t="shared" ref="C11:E11" si="2">AVERAGEIF(C3:C10,"&lt;&gt;0")</f>
        <v>77.787</v>
      </c>
      <c r="D11" s="22">
        <f t="shared" si="2"/>
        <v>82.03275</v>
      </c>
      <c r="E11" s="22">
        <f t="shared" si="2"/>
        <v>79.909875</v>
      </c>
    </row>
  </sheetData>
  <drawing r:id="rId1"/>
</worksheet>
</file>