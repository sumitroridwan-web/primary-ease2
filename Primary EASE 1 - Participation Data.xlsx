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nalysis" sheetId="2" r:id="rId6"/>
  </sheets>
  <definedNames/>
  <calcPr/>
</workbook>
</file>

<file path=xl/sharedStrings.xml><?xml version="1.0" encoding="utf-8"?>
<sst xmlns="http://schemas.openxmlformats.org/spreadsheetml/2006/main" count="118" uniqueCount="20">
  <si>
    <t>English</t>
  </si>
  <si>
    <t>Grade 4</t>
  </si>
  <si>
    <t>Grade 5</t>
  </si>
  <si>
    <t>Grade 6</t>
  </si>
  <si>
    <t>Quality Report</t>
  </si>
  <si>
    <t>Average</t>
  </si>
  <si>
    <t>Participation</t>
  </si>
  <si>
    <t>Pribadi Depok</t>
  </si>
  <si>
    <t>Pribadi Bandung</t>
  </si>
  <si>
    <t>Kharisma Bangsa</t>
  </si>
  <si>
    <t>Prestige School</t>
  </si>
  <si>
    <t>Semesta 2</t>
  </si>
  <si>
    <t>Pribadi Premiere</t>
  </si>
  <si>
    <t>Fatih Bilingual School</t>
  </si>
  <si>
    <t>TNA Fatih</t>
  </si>
  <si>
    <t>Science</t>
  </si>
  <si>
    <t>Mathematics</t>
  </si>
  <si>
    <t>Bahasa Indonesia</t>
  </si>
  <si>
    <t>Religion</t>
  </si>
  <si>
    <t>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</si>
</sst>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b/>
      <color rgb="FFFFFFFF"/>
      <name val="Arial"/>
    </font>
    <font>
      <b/>
      <sz val="10.0"/>
      <color rgb="FFFFFFFF"/>
      <name val="Arial"/>
    </font>
    <font/>
    <font>
      <color theme="1"/>
      <name val="Arial"/>
    </font>
    <font>
      <b/>
      <u/>
      <sz val="9.0"/>
      <color rgb="FF0000FF"/>
      <name val="Arial"/>
    </font>
    <font>
      <b/>
      <color theme="1"/>
      <name val="Arial"/>
    </font>
    <font>
      <sz val="8.0"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b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4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1" fillId="3" fontId="4" numFmtId="0" xfId="0" applyAlignment="1" applyBorder="1" applyFill="1" applyFont="1">
      <alignment vertical="bottom"/>
    </xf>
    <xf borderId="2" fillId="4" fontId="5" numFmtId="0" xfId="0" applyAlignment="1" applyBorder="1" applyFill="1" applyFont="1">
      <alignment horizontal="center" readingOrder="0" vertical="bottom"/>
    </xf>
    <xf borderId="1" fillId="3" fontId="6" numFmtId="0" xfId="0" applyAlignment="1" applyBorder="1" applyFont="1">
      <alignment readingOrder="0" vertical="bottom"/>
    </xf>
    <xf borderId="1" fillId="4" fontId="7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vertical="bottom"/>
    </xf>
    <xf borderId="1" fillId="4" fontId="8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left"/>
    </xf>
    <xf borderId="1" fillId="3" fontId="8" numFmtId="0" xfId="0" applyAlignment="1" applyBorder="1" applyFont="1">
      <alignment readingOrder="0" vertical="bottom"/>
    </xf>
    <xf borderId="0" fillId="0" fontId="9" numFmtId="0" xfId="0" applyAlignment="1" applyFont="1">
      <alignment horizontal="left" readingOrder="0"/>
    </xf>
    <xf borderId="1" fillId="3" fontId="10" numFmtId="0" xfId="0" applyAlignment="1" applyBorder="1" applyFont="1">
      <alignment vertical="bottom"/>
    </xf>
    <xf borderId="1" fillId="3" fontId="10" numFmtId="0" xfId="0" applyAlignment="1" applyBorder="1" applyFont="1">
      <alignment horizontal="center" readingOrder="0" vertical="bottom"/>
    </xf>
    <xf borderId="0" fillId="0" fontId="9" numFmtId="0" xfId="0" applyAlignment="1" applyFont="1">
      <alignment readingOrder="0"/>
    </xf>
    <xf borderId="1" fillId="3" fontId="6" numFmtId="164" xfId="0" applyAlignment="1" applyBorder="1" applyFont="1" applyNumberFormat="1">
      <alignment readingOrder="0" vertical="bottom"/>
    </xf>
    <xf borderId="1" fillId="0" fontId="9" numFmtId="164" xfId="0" applyAlignment="1" applyBorder="1" applyFont="1" applyNumberFormat="1">
      <alignment readingOrder="0"/>
    </xf>
    <xf borderId="1" fillId="5" fontId="9" numFmtId="164" xfId="0" applyAlignment="1" applyBorder="1" applyFill="1" applyFont="1" applyNumberFormat="1">
      <alignment readingOrder="0"/>
    </xf>
    <xf borderId="1" fillId="3" fontId="8" numFmtId="164" xfId="0" applyAlignment="1" applyBorder="1" applyFont="1" applyNumberFormat="1">
      <alignment vertical="bottom"/>
    </xf>
    <xf borderId="1" fillId="0" fontId="9" numFmtId="164" xfId="0" applyBorder="1" applyFont="1" applyNumberFormat="1"/>
    <xf borderId="1" fillId="5" fontId="9" numFmtId="164" xfId="0" applyBorder="1" applyFont="1" applyNumberFormat="1"/>
    <xf borderId="1" fillId="3" fontId="8" numFmtId="164" xfId="0" applyAlignment="1" applyBorder="1" applyFont="1" applyNumberFormat="1">
      <alignment readingOrder="0" vertical="bottom"/>
    </xf>
    <xf borderId="0" fillId="0" fontId="9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atihan.id/report/quality/9079c598-18e8-4b57-8958-4e14f95af23f/pdf?school=All&amp;view=1" TargetMode="External"/><Relationship Id="rId10" Type="http://schemas.openxmlformats.org/officeDocument/2006/relationships/hyperlink" Target="https://latihan.id/report/quality/5c9be913-2d6b-477a-a44b-6e39b59319e6/pdf?school=All&amp;view=1" TargetMode="External"/><Relationship Id="rId13" Type="http://schemas.openxmlformats.org/officeDocument/2006/relationships/hyperlink" Target="https://latihan.id/report/quality/6b46c910-9883-4c3c-8d79-78ae36cc51eb/pdf?school=All&amp;view=1" TargetMode="External"/><Relationship Id="rId12" Type="http://schemas.openxmlformats.org/officeDocument/2006/relationships/hyperlink" Target="https://latihan.id/report/quality/88383bd3-29fc-41dc-a002-9f0b40d6c08f/pdf?school=All&amp;view=1" TargetMode="External"/><Relationship Id="rId1" Type="http://schemas.openxmlformats.org/officeDocument/2006/relationships/hyperlink" Target="https://latihan.id/report/quality/23091659-081f-4b7a-a3d5-896aa8959b57/pdf?school=All&amp;view=1" TargetMode="External"/><Relationship Id="rId2" Type="http://schemas.openxmlformats.org/officeDocument/2006/relationships/hyperlink" Target="https://latihan.id/report/quality/7c747059-7bbf-43d9-886e-003849db38c7/pdf?school=All&amp;view=1" TargetMode="External"/><Relationship Id="rId3" Type="http://schemas.openxmlformats.org/officeDocument/2006/relationships/hyperlink" Target="https://latihan.id/report/quality/65c92644-a020-4498-bfd7-219970340aec/pdf?school=All&amp;view=1" TargetMode="External"/><Relationship Id="rId4" Type="http://schemas.openxmlformats.org/officeDocument/2006/relationships/hyperlink" Target="https://latihan.id/report/quality/15367089-1de3-417b-bef2-f22605917308/pdf?school=All&amp;view=1" TargetMode="External"/><Relationship Id="rId9" Type="http://schemas.openxmlformats.org/officeDocument/2006/relationships/hyperlink" Target="https://latihan.id/report/quality/0d9d3db0-39f1-40c9-99e3-12408ea6c0d1/pdf?school=All&amp;view=1" TargetMode="External"/><Relationship Id="rId15" Type="http://schemas.openxmlformats.org/officeDocument/2006/relationships/hyperlink" Target="https://latihan.id/report/quality/217a80e8-d2a4-47c9-a16a-8668c11955f6/pdf?school=All&amp;view=1" TargetMode="External"/><Relationship Id="rId14" Type="http://schemas.openxmlformats.org/officeDocument/2006/relationships/hyperlink" Target="https://latihan.id/report/quality/e245491e-4ae2-4550-8462-9e40a789e933/pdf?school=All&amp;view=1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atihan.id/report/quality/cfdce562-6ee2-491c-94cb-462c7a476235/pdf?school=All&amp;view=1" TargetMode="External"/><Relationship Id="rId6" Type="http://schemas.openxmlformats.org/officeDocument/2006/relationships/hyperlink" Target="https://latihan.id/report/quality/a2dacede-626e-4132-b640-650a74a710bb/pdf?school=All&amp;view=1" TargetMode="External"/><Relationship Id="rId7" Type="http://schemas.openxmlformats.org/officeDocument/2006/relationships/hyperlink" Target="https://latihan.id/report/quality/b0d26308-7f58-4a6d-b0c4-e54657d5ac48/pdf?school=All&amp;view=1" TargetMode="External"/><Relationship Id="rId8" Type="http://schemas.openxmlformats.org/officeDocument/2006/relationships/hyperlink" Target="https://latihan.id/report/quality/cd1012f2-0ceb-41ae-959f-989004a93491/pdf?school=All&amp;view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75"/>
    <col customWidth="1" min="2" max="2" width="21.13"/>
    <col customWidth="1" min="3" max="8" width="8.63"/>
  </cols>
  <sheetData>
    <row r="2">
      <c r="B2" s="1" t="s">
        <v>0</v>
      </c>
      <c r="C2" s="2" t="s">
        <v>1</v>
      </c>
      <c r="D2" s="3"/>
      <c r="E2" s="2" t="s">
        <v>2</v>
      </c>
      <c r="F2" s="3"/>
      <c r="G2" s="2" t="s">
        <v>3</v>
      </c>
      <c r="H2" s="3"/>
    </row>
    <row r="3">
      <c r="B3" s="4"/>
      <c r="C3" s="5" t="s">
        <v>4</v>
      </c>
      <c r="D3" s="3"/>
      <c r="E3" s="5" t="s">
        <v>4</v>
      </c>
      <c r="F3" s="3"/>
      <c r="G3" s="5" t="s">
        <v>4</v>
      </c>
      <c r="H3" s="3"/>
    </row>
    <row r="4">
      <c r="B4" s="6"/>
      <c r="C4" s="7" t="s">
        <v>5</v>
      </c>
      <c r="D4" s="7" t="s">
        <v>6</v>
      </c>
      <c r="E4" s="7" t="s">
        <v>5</v>
      </c>
      <c r="F4" s="7" t="s">
        <v>6</v>
      </c>
      <c r="G4" s="7" t="s">
        <v>5</v>
      </c>
      <c r="H4" s="7" t="s">
        <v>6</v>
      </c>
    </row>
    <row r="5">
      <c r="B5" s="8" t="s">
        <v>7</v>
      </c>
      <c r="C5" s="9">
        <v>79.0</v>
      </c>
      <c r="D5" s="9">
        <v>22.0</v>
      </c>
      <c r="E5" s="9">
        <v>86.0</v>
      </c>
      <c r="F5" s="9">
        <v>20.0</v>
      </c>
      <c r="G5" s="9">
        <v>80.0</v>
      </c>
      <c r="H5" s="9">
        <v>23.0</v>
      </c>
      <c r="I5" s="10">
        <f>IFERROR(__xludf.DUMMYFUNCTION("ROUND(AVERAGE(FILTER({C5,E5,G5,#REF!,#REF!,#REF!},{C5,E5,G5,#REF!,#REF!,#REF!}&lt;&gt;0)),1)"),81.7)</f>
        <v>81.7</v>
      </c>
    </row>
    <row r="6">
      <c r="B6" s="8" t="s">
        <v>8</v>
      </c>
      <c r="C6" s="9">
        <v>77.0</v>
      </c>
      <c r="D6" s="9">
        <v>29.0</v>
      </c>
      <c r="E6" s="9">
        <v>81.0</v>
      </c>
      <c r="F6" s="9">
        <v>30.0</v>
      </c>
      <c r="G6" s="9">
        <v>82.0</v>
      </c>
      <c r="H6" s="9">
        <v>27.0</v>
      </c>
      <c r="I6" s="10">
        <f>IFERROR(__xludf.DUMMYFUNCTION("ROUND(AVERAGE(FILTER({C6,E6,G6,#REF!,#REF!,#REF!},{C6,E6,G6,#REF!,#REF!,#REF!}&lt;&gt;0)),1)"),80.0)</f>
        <v>80</v>
      </c>
    </row>
    <row r="7">
      <c r="B7" s="11" t="s">
        <v>9</v>
      </c>
      <c r="C7" s="9">
        <v>80.0</v>
      </c>
      <c r="D7" s="9">
        <v>38.0</v>
      </c>
      <c r="E7" s="9">
        <v>83.0</v>
      </c>
      <c r="F7" s="9">
        <v>21.0</v>
      </c>
      <c r="G7" s="9">
        <v>88.0</v>
      </c>
      <c r="H7" s="9">
        <v>41.0</v>
      </c>
      <c r="I7" s="10">
        <f>IFERROR(__xludf.DUMMYFUNCTION("ROUND(AVERAGE(FILTER({C7,E7,G7,#REF!,#REF!,#REF!},{C7,E7,G7,#REF!,#REF!,#REF!}&lt;&gt;0)),1)"),83.7)</f>
        <v>83.7</v>
      </c>
    </row>
    <row r="8">
      <c r="B8" s="11" t="s">
        <v>10</v>
      </c>
      <c r="C8" s="9">
        <v>67.0</v>
      </c>
      <c r="D8" s="9">
        <v>24.0</v>
      </c>
      <c r="E8" s="9">
        <v>74.0</v>
      </c>
      <c r="F8" s="9">
        <v>15.0</v>
      </c>
      <c r="G8" s="9">
        <v>77.0</v>
      </c>
      <c r="H8" s="9">
        <v>16.0</v>
      </c>
      <c r="I8" s="10">
        <f>IFERROR(__xludf.DUMMYFUNCTION("ROUND(AVERAGE(FILTER({C8,E8,G8,#REF!,#REF!,#REF!},{C8,E8,G8,#REF!,#REF!,#REF!}&lt;&gt;0)),1)"),72.7)</f>
        <v>72.7</v>
      </c>
    </row>
    <row r="9">
      <c r="B9" s="11" t="s">
        <v>11</v>
      </c>
      <c r="C9" s="9">
        <v>79.0</v>
      </c>
      <c r="D9" s="9">
        <v>52.0</v>
      </c>
      <c r="E9" s="9">
        <v>91.0</v>
      </c>
      <c r="F9" s="9">
        <v>58.0</v>
      </c>
      <c r="G9" s="9">
        <v>85.0</v>
      </c>
      <c r="H9" s="9">
        <v>44.0</v>
      </c>
      <c r="I9" s="10">
        <f>IFERROR(__xludf.DUMMYFUNCTION("ROUND(AVERAGE(FILTER({C9,E9,G9,#REF!,#REF!,#REF!},{C9,E9,G9,#REF!,#REF!,#REF!}&lt;&gt;0)),1)"),85.0)</f>
        <v>85</v>
      </c>
    </row>
    <row r="10">
      <c r="B10" s="8" t="s">
        <v>12</v>
      </c>
      <c r="C10" s="9">
        <v>85.0</v>
      </c>
      <c r="D10" s="9">
        <v>9.0</v>
      </c>
      <c r="E10" s="9">
        <v>84.0</v>
      </c>
      <c r="F10" s="9">
        <v>19.0</v>
      </c>
      <c r="G10" s="9">
        <v>0.0</v>
      </c>
      <c r="H10" s="9">
        <v>0.0</v>
      </c>
      <c r="I10" s="10">
        <f>IFERROR(__xludf.DUMMYFUNCTION("ROUND(AVERAGE(FILTER({C10,E10,G10,#REF!,#REF!,#REF!},{C10,E10,G10,#REF!,#REF!,#REF!}&lt;&gt;0)),1)"),84.5)</f>
        <v>84.5</v>
      </c>
    </row>
    <row r="11">
      <c r="B11" s="8" t="s">
        <v>13</v>
      </c>
      <c r="C11" s="9">
        <v>0.0</v>
      </c>
      <c r="D11" s="9">
        <v>0.0</v>
      </c>
      <c r="E11" s="9">
        <v>0.0</v>
      </c>
      <c r="F11" s="9">
        <v>0.0</v>
      </c>
      <c r="G11" s="9">
        <v>0.0</v>
      </c>
      <c r="H11" s="9">
        <v>0.0</v>
      </c>
      <c r="I11" s="12">
        <v>0.0</v>
      </c>
    </row>
    <row r="12">
      <c r="B12" s="8" t="s">
        <v>14</v>
      </c>
      <c r="C12" s="9">
        <v>0.0</v>
      </c>
      <c r="D12" s="9">
        <v>0.0</v>
      </c>
      <c r="E12" s="9">
        <v>0.0</v>
      </c>
      <c r="F12" s="9">
        <v>0.0</v>
      </c>
      <c r="G12" s="9">
        <v>0.0</v>
      </c>
      <c r="H12" s="9">
        <v>0.0</v>
      </c>
      <c r="I12" s="12">
        <v>0.0</v>
      </c>
    </row>
    <row r="13">
      <c r="B13" s="13"/>
      <c r="C13" s="14">
        <v>78.0</v>
      </c>
      <c r="D13" s="14">
        <v>174.0</v>
      </c>
      <c r="E13" s="14">
        <v>85.0</v>
      </c>
      <c r="F13" s="14">
        <v>163.0</v>
      </c>
      <c r="G13" s="14">
        <v>84.0</v>
      </c>
      <c r="H13" s="14">
        <v>151.0</v>
      </c>
    </row>
    <row r="15">
      <c r="B15" s="1" t="s">
        <v>15</v>
      </c>
      <c r="C15" s="2" t="s">
        <v>1</v>
      </c>
      <c r="D15" s="3"/>
      <c r="E15" s="2" t="s">
        <v>2</v>
      </c>
      <c r="F15" s="3"/>
      <c r="G15" s="2" t="s">
        <v>3</v>
      </c>
      <c r="H15" s="3"/>
    </row>
    <row r="16">
      <c r="B16" s="4"/>
      <c r="C16" s="5" t="s">
        <v>4</v>
      </c>
      <c r="D16" s="3"/>
      <c r="E16" s="5" t="s">
        <v>4</v>
      </c>
      <c r="F16" s="3"/>
      <c r="G16" s="5" t="s">
        <v>4</v>
      </c>
      <c r="H16" s="3"/>
    </row>
    <row r="17">
      <c r="B17" s="6"/>
      <c r="C17" s="7" t="s">
        <v>5</v>
      </c>
      <c r="D17" s="7" t="s">
        <v>6</v>
      </c>
      <c r="E17" s="7" t="s">
        <v>5</v>
      </c>
      <c r="F17" s="7" t="s">
        <v>6</v>
      </c>
      <c r="G17" s="7" t="s">
        <v>5</v>
      </c>
      <c r="H17" s="7" t="s">
        <v>6</v>
      </c>
    </row>
    <row r="18">
      <c r="B18" s="8" t="s">
        <v>7</v>
      </c>
      <c r="C18" s="9">
        <v>79.0</v>
      </c>
      <c r="D18" s="9">
        <v>22.0</v>
      </c>
      <c r="E18" s="9">
        <v>73.0</v>
      </c>
      <c r="F18" s="9">
        <v>20.0</v>
      </c>
      <c r="G18" s="9">
        <v>82.0</v>
      </c>
      <c r="H18" s="9">
        <v>23.0</v>
      </c>
      <c r="I18" s="10">
        <f>IFERROR(__xludf.DUMMYFUNCTION("ROUND(AVERAGE(FILTER({C18,E18,G18,#REF!,#REF!,#REF!},{C18,E18,G18,#REF!,#REF!,#REF!}&lt;&gt;0)),1)"),78.0)</f>
        <v>78</v>
      </c>
    </row>
    <row r="19">
      <c r="B19" s="8" t="s">
        <v>8</v>
      </c>
      <c r="C19" s="9">
        <v>77.0</v>
      </c>
      <c r="D19" s="9">
        <v>29.0</v>
      </c>
      <c r="E19" s="9">
        <v>69.0</v>
      </c>
      <c r="F19" s="9">
        <v>31.0</v>
      </c>
      <c r="G19" s="9">
        <v>76.0</v>
      </c>
      <c r="H19" s="9">
        <v>27.0</v>
      </c>
      <c r="I19" s="10">
        <f>IFERROR(__xludf.DUMMYFUNCTION("ROUND(AVERAGE(FILTER({C19,E19,G19,#REF!,#REF!,#REF!},{C19,E19,G19,#REF!,#REF!,#REF!}&lt;&gt;0)),1)"),74.0)</f>
        <v>74</v>
      </c>
    </row>
    <row r="20">
      <c r="B20" s="11" t="s">
        <v>9</v>
      </c>
      <c r="C20" s="9">
        <v>85.0</v>
      </c>
      <c r="D20" s="9">
        <v>40.0</v>
      </c>
      <c r="E20" s="9">
        <v>77.0</v>
      </c>
      <c r="F20" s="9">
        <v>20.0</v>
      </c>
      <c r="G20" s="9">
        <v>85.0</v>
      </c>
      <c r="H20" s="9">
        <v>41.0</v>
      </c>
      <c r="I20" s="10">
        <f>IFERROR(__xludf.DUMMYFUNCTION("ROUND(AVERAGE(FILTER({C20,E20,G20,#REF!,#REF!,#REF!},{C20,E20,G20,#REF!,#REF!,#REF!}&lt;&gt;0)),1)"),82.3)</f>
        <v>82.3</v>
      </c>
    </row>
    <row r="21">
      <c r="B21" s="11" t="s">
        <v>10</v>
      </c>
      <c r="C21" s="9">
        <v>74.0</v>
      </c>
      <c r="D21" s="9">
        <v>24.0</v>
      </c>
      <c r="E21" s="9">
        <v>62.0</v>
      </c>
      <c r="F21" s="9">
        <v>15.0</v>
      </c>
      <c r="G21" s="9">
        <v>74.0</v>
      </c>
      <c r="H21" s="9">
        <v>16.0</v>
      </c>
      <c r="I21" s="10">
        <f>IFERROR(__xludf.DUMMYFUNCTION("ROUND(AVERAGE(FILTER({C21,E21,G21,#REF!,#REF!,#REF!},{C21,E21,G21,#REF!,#REF!,#REF!}&lt;&gt;0)),1)"),70.0)</f>
        <v>70</v>
      </c>
    </row>
    <row r="22">
      <c r="B22" s="11" t="s">
        <v>11</v>
      </c>
      <c r="C22" s="9">
        <v>85.0</v>
      </c>
      <c r="D22" s="9">
        <v>51.0</v>
      </c>
      <c r="E22" s="9">
        <v>76.0</v>
      </c>
      <c r="F22" s="9">
        <v>59.0</v>
      </c>
      <c r="G22" s="9">
        <v>82.0</v>
      </c>
      <c r="H22" s="9">
        <v>45.0</v>
      </c>
      <c r="I22" s="10">
        <f>IFERROR(__xludf.DUMMYFUNCTION("ROUND(AVERAGE(FILTER({C22,E22,G22,#REF!,#REF!,#REF!},{C22,E22,G22,#REF!,#REF!,#REF!}&lt;&gt;0)),1)"),81.0)</f>
        <v>81</v>
      </c>
    </row>
    <row r="23">
      <c r="B23" s="8" t="s">
        <v>12</v>
      </c>
      <c r="C23" s="9">
        <v>87.0</v>
      </c>
      <c r="D23" s="9">
        <v>9.0</v>
      </c>
      <c r="E23" s="9">
        <v>69.0</v>
      </c>
      <c r="F23" s="9">
        <v>19.0</v>
      </c>
      <c r="G23" s="9">
        <v>0.0</v>
      </c>
      <c r="H23" s="9">
        <v>0.0</v>
      </c>
      <c r="I23" s="10">
        <f>IFERROR(__xludf.DUMMYFUNCTION("ROUND(AVERAGE(FILTER({C23,E23,G23,#REF!,#REF!,#REF!},{C23,E23,G23,#REF!,#REF!,#REF!}&lt;&gt;0)),1)"),78.0)</f>
        <v>78</v>
      </c>
    </row>
    <row r="24">
      <c r="B24" s="8" t="s">
        <v>13</v>
      </c>
      <c r="C24" s="9">
        <v>0.0</v>
      </c>
      <c r="D24" s="9">
        <v>0.0</v>
      </c>
      <c r="E24" s="9">
        <v>0.0</v>
      </c>
      <c r="F24" s="9">
        <v>0.0</v>
      </c>
      <c r="G24" s="9">
        <v>0.0</v>
      </c>
      <c r="H24" s="9">
        <v>0.0</v>
      </c>
      <c r="I24" s="12">
        <v>0.0</v>
      </c>
    </row>
    <row r="25">
      <c r="B25" s="8" t="s">
        <v>14</v>
      </c>
      <c r="C25" s="9">
        <v>0.0</v>
      </c>
      <c r="D25" s="9">
        <v>0.0</v>
      </c>
      <c r="E25" s="9">
        <v>0.0</v>
      </c>
      <c r="F25" s="9">
        <v>0.0</v>
      </c>
      <c r="G25" s="9">
        <v>0.0</v>
      </c>
      <c r="H25" s="9">
        <v>0.0</v>
      </c>
      <c r="I25" s="12">
        <v>0.0</v>
      </c>
    </row>
    <row r="26">
      <c r="B26" s="13"/>
      <c r="C26" s="14">
        <v>81.0</v>
      </c>
      <c r="D26" s="14">
        <v>175.0</v>
      </c>
      <c r="E26" s="14">
        <v>72.0</v>
      </c>
      <c r="F26" s="14">
        <v>164.0</v>
      </c>
      <c r="G26" s="14">
        <v>81.0</v>
      </c>
      <c r="H26" s="14">
        <v>152.0</v>
      </c>
    </row>
    <row r="28">
      <c r="B28" s="1" t="s">
        <v>16</v>
      </c>
      <c r="C28" s="2" t="s">
        <v>1</v>
      </c>
      <c r="D28" s="3"/>
      <c r="E28" s="2" t="s">
        <v>2</v>
      </c>
      <c r="F28" s="3"/>
      <c r="G28" s="2" t="s">
        <v>3</v>
      </c>
      <c r="H28" s="3"/>
    </row>
    <row r="29">
      <c r="B29" s="4"/>
      <c r="C29" s="5" t="s">
        <v>4</v>
      </c>
      <c r="D29" s="3"/>
      <c r="E29" s="5" t="s">
        <v>4</v>
      </c>
      <c r="F29" s="3"/>
      <c r="G29" s="5" t="s">
        <v>4</v>
      </c>
      <c r="H29" s="3"/>
    </row>
    <row r="30">
      <c r="B30" s="6"/>
      <c r="C30" s="7" t="s">
        <v>5</v>
      </c>
      <c r="D30" s="7" t="s">
        <v>6</v>
      </c>
      <c r="E30" s="7" t="s">
        <v>5</v>
      </c>
      <c r="F30" s="7" t="s">
        <v>6</v>
      </c>
      <c r="G30" s="7" t="s">
        <v>5</v>
      </c>
      <c r="H30" s="7" t="s">
        <v>6</v>
      </c>
    </row>
    <row r="31">
      <c r="B31" s="8" t="s">
        <v>7</v>
      </c>
      <c r="C31" s="9">
        <v>66.0</v>
      </c>
      <c r="D31" s="9">
        <v>22.0</v>
      </c>
      <c r="E31" s="9">
        <v>77.0</v>
      </c>
      <c r="F31" s="9">
        <v>20.0</v>
      </c>
      <c r="G31" s="9">
        <v>83.0</v>
      </c>
      <c r="H31" s="9">
        <v>23.0</v>
      </c>
      <c r="I31" s="10">
        <f>IFERROR(__xludf.DUMMYFUNCTION("ROUND(AVERAGE(FILTER({C31,E31,G31,#REF!,#REF!,#REF!},{C31,E31,G31,#REF!,#REF!,#REF!}&lt;&gt;0)),1)"),75.3)</f>
        <v>75.3</v>
      </c>
    </row>
    <row r="32">
      <c r="B32" s="8" t="s">
        <v>8</v>
      </c>
      <c r="C32" s="9">
        <v>70.0</v>
      </c>
      <c r="D32" s="9">
        <v>28.0</v>
      </c>
      <c r="E32" s="9">
        <v>69.0</v>
      </c>
      <c r="F32" s="9">
        <v>31.0</v>
      </c>
      <c r="G32" s="9">
        <v>81.0</v>
      </c>
      <c r="H32" s="9">
        <v>27.0</v>
      </c>
      <c r="I32" s="10">
        <f>IFERROR(__xludf.DUMMYFUNCTION("ROUND(AVERAGE(FILTER({C32,E32,G32,#REF!,#REF!,#REF!},{C32,E32,G32,#REF!,#REF!,#REF!}&lt;&gt;0)),1)"),73.3)</f>
        <v>73.3</v>
      </c>
    </row>
    <row r="33">
      <c r="B33" s="11" t="s">
        <v>9</v>
      </c>
      <c r="C33" s="9">
        <v>80.0</v>
      </c>
      <c r="D33" s="9">
        <v>41.0</v>
      </c>
      <c r="E33" s="9">
        <v>82.0</v>
      </c>
      <c r="F33" s="9">
        <v>19.0</v>
      </c>
      <c r="G33" s="9">
        <v>84.0</v>
      </c>
      <c r="H33" s="9">
        <v>41.0</v>
      </c>
      <c r="I33" s="10">
        <f>IFERROR(__xludf.DUMMYFUNCTION("ROUND(AVERAGE(FILTER({C33,E33,G33,#REF!,#REF!,#REF!},{C33,E33,G33,#REF!,#REF!,#REF!}&lt;&gt;0)),1)"),82.0)</f>
        <v>82</v>
      </c>
    </row>
    <row r="34">
      <c r="B34" s="11" t="s">
        <v>10</v>
      </c>
      <c r="C34" s="9">
        <v>64.0</v>
      </c>
      <c r="D34" s="9">
        <v>24.0</v>
      </c>
      <c r="E34" s="9">
        <v>64.0</v>
      </c>
      <c r="F34" s="9">
        <v>15.0</v>
      </c>
      <c r="G34" s="9">
        <v>70.0</v>
      </c>
      <c r="H34" s="9">
        <v>16.0</v>
      </c>
      <c r="I34" s="10">
        <f>IFERROR(__xludf.DUMMYFUNCTION("ROUND(AVERAGE(FILTER({C34,E34,G34,#REF!,#REF!,#REF!},{C34,E34,G34,#REF!,#REF!,#REF!}&lt;&gt;0)),1)"),66.0)</f>
        <v>66</v>
      </c>
    </row>
    <row r="35">
      <c r="B35" s="11" t="s">
        <v>11</v>
      </c>
      <c r="C35" s="9">
        <v>77.0</v>
      </c>
      <c r="D35" s="9">
        <v>52.0</v>
      </c>
      <c r="E35" s="9">
        <v>82.0</v>
      </c>
      <c r="F35" s="9">
        <v>59.0</v>
      </c>
      <c r="G35" s="9">
        <v>86.0</v>
      </c>
      <c r="H35" s="9">
        <v>45.0</v>
      </c>
      <c r="I35" s="10">
        <f>IFERROR(__xludf.DUMMYFUNCTION("ROUND(AVERAGE(FILTER({C35,E35,G35,#REF!,#REF!,#REF!},{C35,E35,G35,#REF!,#REF!,#REF!}&lt;&gt;0)),1)"),81.7)</f>
        <v>81.7</v>
      </c>
    </row>
    <row r="36">
      <c r="B36" s="8" t="s">
        <v>12</v>
      </c>
      <c r="C36" s="9">
        <v>85.0</v>
      </c>
      <c r="D36" s="9">
        <v>9.0</v>
      </c>
      <c r="E36" s="9">
        <v>84.0</v>
      </c>
      <c r="F36" s="9">
        <v>19.0</v>
      </c>
      <c r="G36" s="9">
        <v>0.0</v>
      </c>
      <c r="H36" s="9">
        <v>0.0</v>
      </c>
      <c r="I36" s="10">
        <f>IFERROR(__xludf.DUMMYFUNCTION("ROUND(AVERAGE(FILTER({C36,E36,G36,#REF!,#REF!,#REF!},{C36,E36,G36,#REF!,#REF!,#REF!}&lt;&gt;0)),1)"),84.5)</f>
        <v>84.5</v>
      </c>
    </row>
    <row r="37">
      <c r="B37" s="8" t="s">
        <v>13</v>
      </c>
      <c r="C37" s="9">
        <v>0.0</v>
      </c>
      <c r="D37" s="9">
        <v>0.0</v>
      </c>
      <c r="E37" s="9">
        <v>0.0</v>
      </c>
      <c r="F37" s="9">
        <v>0.0</v>
      </c>
      <c r="G37" s="9">
        <v>0.0</v>
      </c>
      <c r="H37" s="9">
        <v>0.0</v>
      </c>
      <c r="I37" s="12">
        <v>0.0</v>
      </c>
    </row>
    <row r="38">
      <c r="B38" s="8" t="s">
        <v>14</v>
      </c>
      <c r="C38" s="9">
        <v>0.0</v>
      </c>
      <c r="D38" s="9">
        <v>0.0</v>
      </c>
      <c r="E38" s="9">
        <v>0.0</v>
      </c>
      <c r="F38" s="9">
        <v>0.0</v>
      </c>
      <c r="G38" s="9">
        <v>0.0</v>
      </c>
      <c r="H38" s="9">
        <v>0.0</v>
      </c>
      <c r="I38" s="12">
        <v>0.0</v>
      </c>
    </row>
    <row r="39">
      <c r="B39" s="13"/>
      <c r="C39" s="14">
        <v>74.0</v>
      </c>
      <c r="D39" s="14">
        <v>176.0</v>
      </c>
      <c r="E39" s="14">
        <v>77.0</v>
      </c>
      <c r="F39" s="14">
        <v>162.0</v>
      </c>
      <c r="G39" s="14">
        <v>83.0</v>
      </c>
      <c r="H39" s="14">
        <v>152.0</v>
      </c>
    </row>
    <row r="41">
      <c r="B41" s="1" t="s">
        <v>17</v>
      </c>
      <c r="C41" s="2" t="s">
        <v>1</v>
      </c>
      <c r="D41" s="3"/>
      <c r="E41" s="2" t="s">
        <v>2</v>
      </c>
      <c r="F41" s="3"/>
      <c r="G41" s="2" t="s">
        <v>3</v>
      </c>
      <c r="H41" s="3"/>
    </row>
    <row r="42">
      <c r="B42" s="4"/>
      <c r="C42" s="5" t="s">
        <v>4</v>
      </c>
      <c r="D42" s="3"/>
      <c r="E42" s="5" t="s">
        <v>4</v>
      </c>
      <c r="F42" s="3"/>
      <c r="G42" s="5" t="s">
        <v>4</v>
      </c>
      <c r="H42" s="3"/>
    </row>
    <row r="43">
      <c r="B43" s="6"/>
      <c r="C43" s="7" t="s">
        <v>5</v>
      </c>
      <c r="D43" s="7" t="s">
        <v>6</v>
      </c>
      <c r="E43" s="7" t="s">
        <v>5</v>
      </c>
      <c r="F43" s="7" t="s">
        <v>6</v>
      </c>
      <c r="G43" s="7" t="s">
        <v>5</v>
      </c>
      <c r="H43" s="7" t="s">
        <v>6</v>
      </c>
    </row>
    <row r="44">
      <c r="B44" s="8" t="s">
        <v>7</v>
      </c>
      <c r="C44" s="9">
        <v>81.0</v>
      </c>
      <c r="D44" s="9">
        <v>20.0</v>
      </c>
      <c r="E44" s="9">
        <v>80.0</v>
      </c>
      <c r="F44" s="9">
        <v>19.0</v>
      </c>
      <c r="G44" s="9">
        <v>80.0</v>
      </c>
      <c r="H44" s="9">
        <v>21.0</v>
      </c>
      <c r="I44" s="10">
        <f>IFERROR(__xludf.DUMMYFUNCTION("ROUND(AVERAGE(FILTER({C44,E44,G44,#REF!,#REF!,#REF!},{C44,E44,G44,#REF!,#REF!,#REF!}&lt;&gt;0)),1)"),80.3)</f>
        <v>80.3</v>
      </c>
    </row>
    <row r="45">
      <c r="B45" s="8" t="s">
        <v>8</v>
      </c>
      <c r="C45" s="9">
        <v>79.0</v>
      </c>
      <c r="D45" s="9">
        <v>29.0</v>
      </c>
      <c r="E45" s="9">
        <v>72.0</v>
      </c>
      <c r="F45" s="9">
        <v>31.0</v>
      </c>
      <c r="G45" s="9">
        <v>82.0</v>
      </c>
      <c r="H45" s="9">
        <v>27.0</v>
      </c>
      <c r="I45" s="10">
        <f>IFERROR(__xludf.DUMMYFUNCTION("ROUND(AVERAGE(FILTER({C45,E45,G45,#REF!,#REF!,#REF!},{C45,E45,G45,#REF!,#REF!,#REF!}&lt;&gt;0)),1)"),77.7)</f>
        <v>77.7</v>
      </c>
    </row>
    <row r="46">
      <c r="B46" s="11" t="s">
        <v>9</v>
      </c>
      <c r="C46" s="9">
        <v>77.0</v>
      </c>
      <c r="D46" s="9">
        <v>40.0</v>
      </c>
      <c r="E46" s="9">
        <v>81.0</v>
      </c>
      <c r="F46" s="9">
        <v>18.0</v>
      </c>
      <c r="G46" s="9">
        <v>86.0</v>
      </c>
      <c r="H46" s="9">
        <v>37.0</v>
      </c>
      <c r="I46" s="10">
        <f>IFERROR(__xludf.DUMMYFUNCTION("ROUND(AVERAGE(FILTER({C46,E46,G46,#REF!,#REF!,#REF!},{C46,E46,G46,#REF!,#REF!,#REF!}&lt;&gt;0)),1)"),81.3)</f>
        <v>81.3</v>
      </c>
    </row>
    <row r="47">
      <c r="B47" s="11" t="s">
        <v>10</v>
      </c>
      <c r="C47" s="9">
        <v>75.0</v>
      </c>
      <c r="D47" s="9">
        <v>24.0</v>
      </c>
      <c r="E47" s="9">
        <v>77.0</v>
      </c>
      <c r="F47" s="9">
        <v>15.0</v>
      </c>
      <c r="G47" s="9">
        <v>77.0</v>
      </c>
      <c r="H47" s="9">
        <v>16.0</v>
      </c>
      <c r="I47" s="10">
        <f>IFERROR(__xludf.DUMMYFUNCTION("ROUND(AVERAGE(FILTER({C47,E47,G47,#REF!,#REF!,#REF!},{C47,E47,G47,#REF!,#REF!,#REF!}&lt;&gt;0)),1)"),76.3)</f>
        <v>76.3</v>
      </c>
    </row>
    <row r="48">
      <c r="B48" s="11" t="s">
        <v>11</v>
      </c>
      <c r="C48" s="9">
        <v>86.0</v>
      </c>
      <c r="D48" s="9">
        <v>52.0</v>
      </c>
      <c r="E48" s="9">
        <v>91.0</v>
      </c>
      <c r="F48" s="9">
        <v>59.0</v>
      </c>
      <c r="G48" s="9">
        <v>85.0</v>
      </c>
      <c r="H48" s="9">
        <v>44.0</v>
      </c>
      <c r="I48" s="10">
        <f>IFERROR(__xludf.DUMMYFUNCTION("ROUND(AVERAGE(FILTER({C48,E48,G48,#REF!,#REF!,#REF!},{C48,E48,G48,#REF!,#REF!,#REF!}&lt;&gt;0)),1)"),87.3)</f>
        <v>87.3</v>
      </c>
    </row>
    <row r="49">
      <c r="B49" s="8" t="s">
        <v>12</v>
      </c>
      <c r="C49" s="9">
        <v>86.0</v>
      </c>
      <c r="D49" s="9">
        <v>9.0</v>
      </c>
      <c r="E49" s="9">
        <v>79.0</v>
      </c>
      <c r="F49" s="9">
        <v>19.0</v>
      </c>
      <c r="G49" s="9">
        <v>0.0</v>
      </c>
      <c r="H49" s="9">
        <v>0.0</v>
      </c>
      <c r="I49" s="10">
        <f>IFERROR(__xludf.DUMMYFUNCTION("ROUND(AVERAGE(FILTER({C49,E49,G49,#REF!,#REF!,#REF!},{C49,E49,G49,#REF!,#REF!,#REF!}&lt;&gt;0)),1)"),82.5)</f>
        <v>82.5</v>
      </c>
    </row>
    <row r="50">
      <c r="B50" s="8" t="s">
        <v>13</v>
      </c>
      <c r="C50" s="9">
        <v>0.0</v>
      </c>
      <c r="D50" s="9">
        <v>0.0</v>
      </c>
      <c r="E50" s="9">
        <v>0.0</v>
      </c>
      <c r="F50" s="9">
        <v>0.0</v>
      </c>
      <c r="G50" s="9">
        <v>0.0</v>
      </c>
      <c r="H50" s="9">
        <v>0.0</v>
      </c>
      <c r="I50" s="12">
        <v>0.0</v>
      </c>
    </row>
    <row r="51">
      <c r="B51" s="8" t="s">
        <v>14</v>
      </c>
      <c r="C51" s="9">
        <v>0.0</v>
      </c>
      <c r="D51" s="9">
        <v>0.0</v>
      </c>
      <c r="E51" s="9">
        <v>0.0</v>
      </c>
      <c r="F51" s="9">
        <v>0.0</v>
      </c>
      <c r="G51" s="9">
        <v>0.0</v>
      </c>
      <c r="H51" s="9">
        <v>0.0</v>
      </c>
      <c r="I51" s="12">
        <v>0.0</v>
      </c>
    </row>
    <row r="52">
      <c r="B52" s="13"/>
      <c r="C52" s="14">
        <v>81.0</v>
      </c>
      <c r="D52" s="14">
        <v>174.0</v>
      </c>
      <c r="E52" s="14">
        <v>82.0</v>
      </c>
      <c r="F52" s="14">
        <v>161.0</v>
      </c>
      <c r="G52" s="14">
        <v>83.0</v>
      </c>
      <c r="H52" s="14">
        <v>145.0</v>
      </c>
    </row>
    <row r="54">
      <c r="B54" s="1" t="s">
        <v>18</v>
      </c>
      <c r="C54" s="2" t="s">
        <v>1</v>
      </c>
      <c r="D54" s="3"/>
      <c r="E54" s="2" t="s">
        <v>2</v>
      </c>
      <c r="F54" s="3"/>
      <c r="G54" s="2" t="s">
        <v>3</v>
      </c>
      <c r="H54" s="3"/>
    </row>
    <row r="55">
      <c r="B55" s="4"/>
      <c r="C55" s="5" t="s">
        <v>4</v>
      </c>
      <c r="D55" s="3"/>
      <c r="E55" s="5" t="s">
        <v>4</v>
      </c>
      <c r="F55" s="3"/>
      <c r="G55" s="5" t="s">
        <v>4</v>
      </c>
      <c r="H55" s="3"/>
    </row>
    <row r="56">
      <c r="B56" s="6"/>
      <c r="C56" s="7" t="s">
        <v>5</v>
      </c>
      <c r="D56" s="7" t="s">
        <v>6</v>
      </c>
      <c r="E56" s="7" t="s">
        <v>5</v>
      </c>
      <c r="F56" s="7" t="s">
        <v>6</v>
      </c>
      <c r="G56" s="7" t="s">
        <v>5</v>
      </c>
      <c r="H56" s="7" t="s">
        <v>6</v>
      </c>
    </row>
    <row r="57">
      <c r="B57" s="8" t="s">
        <v>7</v>
      </c>
      <c r="C57" s="9">
        <v>83.0</v>
      </c>
      <c r="D57" s="9">
        <v>21.0</v>
      </c>
      <c r="E57" s="9">
        <v>88.0</v>
      </c>
      <c r="F57" s="9">
        <v>19.0</v>
      </c>
      <c r="G57" s="9">
        <v>90.0</v>
      </c>
      <c r="H57" s="9">
        <v>21.0</v>
      </c>
      <c r="I57" s="10">
        <f>IFERROR(__xludf.DUMMYFUNCTION("ROUND(AVERAGE(FILTER({C57,E57,G57,#REF!,#REF!,#REF!},{C57,E57,G57,#REF!,#REF!,#REF!}&lt;&gt;0)),1)"),87.0)</f>
        <v>87</v>
      </c>
    </row>
    <row r="58">
      <c r="B58" s="8" t="s">
        <v>8</v>
      </c>
      <c r="C58" s="9">
        <v>77.0</v>
      </c>
      <c r="D58" s="9">
        <v>30.0</v>
      </c>
      <c r="E58" s="9">
        <v>69.0</v>
      </c>
      <c r="F58" s="9">
        <v>30.0</v>
      </c>
      <c r="G58" s="9">
        <v>82.0</v>
      </c>
      <c r="H58" s="9">
        <v>25.0</v>
      </c>
      <c r="I58" s="10">
        <f>IFERROR(__xludf.DUMMYFUNCTION("ROUND(AVERAGE(FILTER({C58,E58,G58,#REF!,#REF!,#REF!},{C58,E58,G58,#REF!,#REF!,#REF!}&lt;&gt;0)),1)"),76.0)</f>
        <v>76</v>
      </c>
    </row>
    <row r="59">
      <c r="B59" s="11" t="s">
        <v>9</v>
      </c>
      <c r="C59" s="9">
        <v>80.0</v>
      </c>
      <c r="D59" s="9">
        <v>42.0</v>
      </c>
      <c r="E59" s="9">
        <v>79.0</v>
      </c>
      <c r="F59" s="9">
        <v>18.0</v>
      </c>
      <c r="G59" s="9">
        <v>84.0</v>
      </c>
      <c r="H59" s="9">
        <v>37.0</v>
      </c>
      <c r="I59" s="10">
        <f>IFERROR(__xludf.DUMMYFUNCTION("ROUND(AVERAGE(FILTER({C59,E59,G59,#REF!,#REF!,#REF!},{C59,E59,G59,#REF!,#REF!,#REF!}&lt;&gt;0)),1)"),81.0)</f>
        <v>81</v>
      </c>
    </row>
    <row r="60">
      <c r="B60" s="11" t="s">
        <v>10</v>
      </c>
      <c r="C60" s="9">
        <v>78.0</v>
      </c>
      <c r="D60" s="9">
        <v>24.0</v>
      </c>
      <c r="E60" s="9">
        <v>76.0</v>
      </c>
      <c r="F60" s="9">
        <v>15.0</v>
      </c>
      <c r="G60" s="9">
        <v>80.0</v>
      </c>
      <c r="H60" s="9">
        <v>14.0</v>
      </c>
      <c r="I60" s="10">
        <f>IFERROR(__xludf.DUMMYFUNCTION("ROUND(AVERAGE(FILTER({C60,E60,G60,#REF!,#REF!,#REF!},{C60,E60,G60,#REF!,#REF!,#REF!}&lt;&gt;0)),1)"),78.0)</f>
        <v>78</v>
      </c>
    </row>
    <row r="61">
      <c r="B61" s="11" t="s">
        <v>11</v>
      </c>
      <c r="C61" s="9">
        <v>84.0</v>
      </c>
      <c r="D61" s="9">
        <v>53.0</v>
      </c>
      <c r="E61" s="9">
        <v>86.0</v>
      </c>
      <c r="F61" s="9">
        <v>59.0</v>
      </c>
      <c r="G61" s="9">
        <v>85.0</v>
      </c>
      <c r="H61" s="9">
        <v>45.0</v>
      </c>
      <c r="I61" s="10">
        <f>IFERROR(__xludf.DUMMYFUNCTION("ROUND(AVERAGE(FILTER({C61,E61,G61,#REF!,#REF!,#REF!},{C61,E61,G61,#REF!,#REF!,#REF!}&lt;&gt;0)),1)"),85.0)</f>
        <v>85</v>
      </c>
    </row>
    <row r="62">
      <c r="B62" s="8" t="s">
        <v>12</v>
      </c>
      <c r="C62" s="9">
        <v>92.0</v>
      </c>
      <c r="D62" s="9">
        <v>9.0</v>
      </c>
      <c r="E62" s="9">
        <v>88.0</v>
      </c>
      <c r="F62" s="9">
        <v>19.0</v>
      </c>
      <c r="G62" s="9">
        <v>0.0</v>
      </c>
      <c r="H62" s="9">
        <v>0.0</v>
      </c>
      <c r="I62" s="10">
        <f>IFERROR(__xludf.DUMMYFUNCTION("ROUND(AVERAGE(FILTER({C62,E62,G62,#REF!,#REF!,#REF!},{C62,E62,G62,#REF!,#REF!,#REF!}&lt;&gt;0)),1)"),90.0)</f>
        <v>90</v>
      </c>
    </row>
    <row r="63">
      <c r="B63" s="8" t="s">
        <v>13</v>
      </c>
      <c r="C63" s="9">
        <v>0.0</v>
      </c>
      <c r="D63" s="9">
        <v>0.0</v>
      </c>
      <c r="E63" s="9">
        <v>0.0</v>
      </c>
      <c r="F63" s="9">
        <v>0.0</v>
      </c>
      <c r="G63" s="9">
        <v>0.0</v>
      </c>
      <c r="H63" s="9">
        <v>0.0</v>
      </c>
      <c r="I63" s="12">
        <v>0.0</v>
      </c>
    </row>
    <row r="64">
      <c r="B64" s="8" t="s">
        <v>14</v>
      </c>
      <c r="C64" s="9">
        <v>0.0</v>
      </c>
      <c r="D64" s="9">
        <v>0.0</v>
      </c>
      <c r="E64" s="9">
        <v>0.0</v>
      </c>
      <c r="F64" s="9">
        <v>0.0</v>
      </c>
      <c r="G64" s="9">
        <v>0.0</v>
      </c>
      <c r="H64" s="9">
        <v>0.0</v>
      </c>
      <c r="I64" s="12">
        <v>0.0</v>
      </c>
    </row>
    <row r="65">
      <c r="B65" s="13"/>
      <c r="C65" s="14">
        <v>81.0</v>
      </c>
      <c r="D65" s="14">
        <v>179.0</v>
      </c>
      <c r="E65" s="14">
        <v>82.0</v>
      </c>
      <c r="F65" s="14">
        <v>159.0</v>
      </c>
      <c r="G65" s="14">
        <v>84.0</v>
      </c>
      <c r="H65" s="14">
        <v>142.0</v>
      </c>
    </row>
  </sheetData>
  <mergeCells count="30">
    <mergeCell ref="E15:F15"/>
    <mergeCell ref="G15:H15"/>
    <mergeCell ref="C2:D2"/>
    <mergeCell ref="E2:F2"/>
    <mergeCell ref="G2:H2"/>
    <mergeCell ref="C3:D3"/>
    <mergeCell ref="E3:F3"/>
    <mergeCell ref="G3:H3"/>
    <mergeCell ref="C15:D15"/>
    <mergeCell ref="E29:F29"/>
    <mergeCell ref="G29:H29"/>
    <mergeCell ref="C16:D16"/>
    <mergeCell ref="E16:F16"/>
    <mergeCell ref="G16:H16"/>
    <mergeCell ref="C28:D28"/>
    <mergeCell ref="E28:F28"/>
    <mergeCell ref="G28:H28"/>
    <mergeCell ref="C29:D29"/>
    <mergeCell ref="E54:F54"/>
    <mergeCell ref="G54:H54"/>
    <mergeCell ref="C55:D55"/>
    <mergeCell ref="E55:F55"/>
    <mergeCell ref="G55:H55"/>
    <mergeCell ref="C41:D41"/>
    <mergeCell ref="E41:F41"/>
    <mergeCell ref="G41:H41"/>
    <mergeCell ref="C42:D42"/>
    <mergeCell ref="E42:F42"/>
    <mergeCell ref="G42:H42"/>
    <mergeCell ref="C54:D54"/>
  </mergeCells>
  <hyperlinks>
    <hyperlink r:id="rId1" ref="C3"/>
    <hyperlink r:id="rId2" ref="E3"/>
    <hyperlink r:id="rId3" ref="G3"/>
    <hyperlink r:id="rId4" ref="C16"/>
    <hyperlink r:id="rId5" ref="E16"/>
    <hyperlink r:id="rId6" ref="G16"/>
    <hyperlink r:id="rId7" ref="C29"/>
    <hyperlink r:id="rId8" ref="E29"/>
    <hyperlink r:id="rId9" ref="G29"/>
    <hyperlink r:id="rId10" ref="C42"/>
    <hyperlink r:id="rId11" ref="E42"/>
    <hyperlink r:id="rId12" ref="G42"/>
    <hyperlink r:id="rId13" ref="C55"/>
    <hyperlink r:id="rId14" ref="E55"/>
    <hyperlink r:id="rId15" ref="G55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1">
      <c r="C1" s="15" t="s">
        <v>19</v>
      </c>
    </row>
    <row r="2">
      <c r="B2" s="16"/>
      <c r="C2" s="17" t="s">
        <v>1</v>
      </c>
      <c r="D2" s="17" t="s">
        <v>2</v>
      </c>
      <c r="E2" s="17" t="s">
        <v>3</v>
      </c>
      <c r="F2" s="18" t="s">
        <v>5</v>
      </c>
    </row>
    <row r="3">
      <c r="B3" s="19" t="s">
        <v>7</v>
      </c>
      <c r="C3" s="20">
        <f t="array" ref="C3">AVERAGEIF({Data!C5,Data!C18,Data!C31,Data!C44,Data!C57},"&lt;&gt;0")</f>
        <v>77.6</v>
      </c>
      <c r="D3" s="20">
        <f t="array" ref="D3">AVERAGEIF({Data!E5,Data!E18,Data!E31,Data!E44,Data!E57},"&lt;&gt;0")</f>
        <v>80.8</v>
      </c>
      <c r="E3" s="20">
        <f t="array" ref="E3">AVERAGEIF({Data!G5,Data!G18,Data!G31,Data!G44,Data!G57},"&lt;&gt;0")</f>
        <v>83</v>
      </c>
      <c r="F3" s="21">
        <f t="shared" ref="F3:F8" si="1">AVERAGEIF(C3:E3,"&lt;&gt;0")</f>
        <v>80.46666667</v>
      </c>
    </row>
    <row r="4">
      <c r="B4" s="19" t="s">
        <v>8</v>
      </c>
      <c r="C4" s="20">
        <f t="array" ref="C4">AVERAGEIF({Data!C6,Data!C19,Data!C32,Data!C45,Data!C58},"&lt;&gt;0")</f>
        <v>76</v>
      </c>
      <c r="D4" s="20">
        <f t="array" ref="D4">AVERAGEIF({Data!E6,Data!E19,Data!E32,Data!E45,Data!E58},"&lt;&gt;0")</f>
        <v>72</v>
      </c>
      <c r="E4" s="20">
        <f t="array" ref="E4">AVERAGEIF({Data!G6,Data!G19,Data!G32,Data!G45,Data!G58},"&lt;&gt;0")</f>
        <v>80.6</v>
      </c>
      <c r="F4" s="21">
        <f t="shared" si="1"/>
        <v>76.2</v>
      </c>
    </row>
    <row r="5">
      <c r="B5" s="22" t="s">
        <v>9</v>
      </c>
      <c r="C5" s="20">
        <f t="array" ref="C5">AVERAGEIF({Data!C7,Data!C20,Data!C33,Data!C46,Data!C59},"&lt;&gt;0")</f>
        <v>80.4</v>
      </c>
      <c r="D5" s="20">
        <f t="array" ref="D5">AVERAGEIF({Data!E7,Data!E20,Data!E33,Data!E46,Data!E59},"&lt;&gt;0")</f>
        <v>80.4</v>
      </c>
      <c r="E5" s="20">
        <f t="array" ref="E5">AVERAGEIF({Data!G7,Data!G20,Data!G33,Data!G46,Data!G59},"&lt;&gt;0")</f>
        <v>85.4</v>
      </c>
      <c r="F5" s="21">
        <f t="shared" si="1"/>
        <v>82.06666667</v>
      </c>
    </row>
    <row r="6">
      <c r="B6" s="22" t="s">
        <v>10</v>
      </c>
      <c r="C6" s="20">
        <f t="array" ref="C6">AVERAGEIF({Data!C8,Data!C21,Data!C34,Data!C47,Data!C60},"&lt;&gt;0")</f>
        <v>71.6</v>
      </c>
      <c r="D6" s="20">
        <f t="array" ref="D6">AVERAGEIF({Data!E8,Data!E21,Data!E34,Data!E47,Data!E60},"&lt;&gt;0")</f>
        <v>70.6</v>
      </c>
      <c r="E6" s="20">
        <f t="array" ref="E6">AVERAGEIF({Data!G8,Data!G21,Data!G34,Data!G47,Data!G60},"&lt;&gt;0")</f>
        <v>75.6</v>
      </c>
      <c r="F6" s="21">
        <f t="shared" si="1"/>
        <v>72.6</v>
      </c>
    </row>
    <row r="7">
      <c r="B7" s="22" t="s">
        <v>11</v>
      </c>
      <c r="C7" s="20">
        <f t="array" ref="C7">AVERAGEIF({Data!C9,Data!C22,Data!C35,Data!C48,Data!C61},"&lt;&gt;0")</f>
        <v>82.2</v>
      </c>
      <c r="D7" s="20">
        <f t="array" ref="D7">AVERAGEIF({Data!E9,Data!E22,Data!E35,Data!E48,Data!E61},"&lt;&gt;0")</f>
        <v>85.2</v>
      </c>
      <c r="E7" s="20">
        <f t="array" ref="E7">AVERAGEIF({Data!G9,Data!G22,Data!G35,Data!G48,Data!G61},"&lt;&gt;0")</f>
        <v>84.6</v>
      </c>
      <c r="F7" s="21">
        <f t="shared" si="1"/>
        <v>84</v>
      </c>
    </row>
    <row r="8">
      <c r="B8" s="19" t="s">
        <v>12</v>
      </c>
      <c r="C8" s="20">
        <f t="array" ref="C8">AVERAGEIF({Data!C10,Data!C23,Data!C36,Data!C49,Data!C62},"&lt;&gt;0")</f>
        <v>87</v>
      </c>
      <c r="D8" s="20">
        <f t="array" ref="D8">AVERAGEIF({Data!E10,Data!E23,Data!E36,Data!E49,Data!E62},"&lt;&gt;0")</f>
        <v>80.8</v>
      </c>
      <c r="E8" s="17">
        <v>0.0</v>
      </c>
      <c r="F8" s="21">
        <f t="shared" si="1"/>
        <v>83.9</v>
      </c>
    </row>
    <row r="9">
      <c r="B9" s="19" t="s">
        <v>13</v>
      </c>
      <c r="C9" s="17">
        <v>0.0</v>
      </c>
      <c r="D9" s="17">
        <v>0.0</v>
      </c>
      <c r="E9" s="17">
        <v>0.0</v>
      </c>
      <c r="F9" s="18">
        <v>0.0</v>
      </c>
    </row>
    <row r="10">
      <c r="B10" s="19" t="s">
        <v>14</v>
      </c>
      <c r="C10" s="17">
        <v>0.0</v>
      </c>
      <c r="D10" s="17">
        <v>0.0</v>
      </c>
      <c r="E10" s="17">
        <v>0.0</v>
      </c>
      <c r="F10" s="18">
        <v>0.0</v>
      </c>
    </row>
    <row r="11">
      <c r="C11" s="23">
        <f t="shared" ref="C11:F11" si="2">AVERAGEIF(C3:C10,"&lt;&gt;0")</f>
        <v>79.13333333</v>
      </c>
      <c r="D11" s="23">
        <f t="shared" si="2"/>
        <v>78.3</v>
      </c>
      <c r="E11" s="23">
        <f t="shared" si="2"/>
        <v>81.84</v>
      </c>
      <c r="F11" s="23">
        <f t="shared" si="2"/>
        <v>79.87222222</v>
      </c>
    </row>
  </sheetData>
  <drawing r:id="rId1"/>
</worksheet>
</file>